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\\corp.firstbrokers.com\Shares\Users\jkunz\Documents\Current Excel\"/>
    </mc:Choice>
  </mc:AlternateContent>
  <xr:revisionPtr revIDLastSave="0" documentId="13_ncr:1_{3228DF8E-2DE9-4666-B6F8-6D5805BEFA08}" xr6:coauthVersionLast="41" xr6:coauthVersionMax="41" xr10:uidLastSave="{00000000-0000-0000-0000-000000000000}"/>
  <bookViews>
    <workbookView xWindow="3975" yWindow="3030" windowWidth="16200" windowHeight="9825" xr2:uid="{00000000-000D-0000-FFFF-FFFF00000000}"/>
  </bookViews>
  <sheets>
    <sheet name="Data Entry" sheetId="1" r:id="rId1"/>
    <sheet name="Trades" sheetId="7" r:id="rId2"/>
    <sheet name="Trades2" sheetId="8" r:id="rId3"/>
    <sheet name="Comm Calc" sheetId="5" r:id="rId4"/>
    <sheet name="Emer" sheetId="3" r:id="rId5"/>
    <sheet name="Corp" sheetId="2" r:id="rId6"/>
    <sheet name="Govys" sheetId="4" r:id="rId7"/>
  </sheets>
  <definedNames>
    <definedName name="_xlnm._FilterDatabase" localSheetId="3" hidden="1">'Comm Calc'!$C$64:$E$76</definedName>
    <definedName name="_xlnm._FilterDatabase" localSheetId="0" hidden="1">'Data Entry'!$D$16:$D$21</definedName>
    <definedName name="M">1000</definedName>
    <definedName name="workday">'Data Entry'!$E$13</definedName>
    <definedName name="Z_7BA6D571_1806_4D43_989A_7374A15C2E31_.wvu.FilterData" localSheetId="0" hidden="1">'Data Entry'!$D$16:$D$21</definedName>
  </definedNames>
  <calcPr calcId="191029"/>
  <customWorkbookViews>
    <customWorkbookView name="Joseph Kunz - Personal View" guid="{7BA6D571-1806-4D43-989A-7374A15C2E31}" mergeInterval="0" personalView="1" xWindow="24" yWindow="27" windowWidth="1609" windowHeight="943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0" i="1" l="1"/>
  <c r="Q30" i="1" s="1"/>
  <c r="L30" i="1"/>
  <c r="N29" i="1"/>
  <c r="Q29" i="1" s="1"/>
  <c r="L29" i="1"/>
  <c r="N28" i="1"/>
  <c r="Q28" i="1" s="1"/>
  <c r="L28" i="1"/>
  <c r="N27" i="1"/>
  <c r="Q27" i="1" s="1"/>
  <c r="L27" i="1"/>
  <c r="Q26" i="1"/>
  <c r="N26" i="1"/>
  <c r="L26" i="1"/>
  <c r="N25" i="1"/>
  <c r="Q25" i="1" s="1"/>
  <c r="L25" i="1"/>
  <c r="N24" i="1"/>
  <c r="Q24" i="1" s="1"/>
  <c r="L24" i="1"/>
  <c r="N23" i="1"/>
  <c r="Q23" i="1" s="1"/>
  <c r="L23" i="1"/>
  <c r="Q22" i="1"/>
  <c r="N22" i="1"/>
  <c r="L22" i="1"/>
  <c r="N21" i="1"/>
  <c r="Q21" i="1" s="1"/>
  <c r="L21" i="1"/>
  <c r="N20" i="1"/>
  <c r="Q20" i="1" s="1"/>
  <c r="L20" i="1"/>
  <c r="N19" i="1"/>
  <c r="Q19" i="1" s="1"/>
  <c r="L19" i="1"/>
  <c r="Q18" i="1"/>
  <c r="N18" i="1"/>
  <c r="L18" i="1"/>
  <c r="N17" i="1"/>
  <c r="Q17" i="1" s="1"/>
  <c r="L17" i="1"/>
  <c r="N10" i="1"/>
  <c r="E13" i="1" s="1"/>
  <c r="Q30" i="4" l="1"/>
  <c r="N30" i="4"/>
  <c r="L30" i="4"/>
  <c r="N29" i="4"/>
  <c r="Q29" i="4" s="1"/>
  <c r="L29" i="4"/>
  <c r="N28" i="4"/>
  <c r="Q28" i="4" s="1"/>
  <c r="L28" i="4"/>
  <c r="N27" i="4"/>
  <c r="Q27" i="4" s="1"/>
  <c r="L27" i="4"/>
  <c r="N26" i="4"/>
  <c r="Q26" i="4" s="1"/>
  <c r="L26" i="4"/>
  <c r="N25" i="4"/>
  <c r="Q25" i="4" s="1"/>
  <c r="L25" i="4"/>
  <c r="Q24" i="4"/>
  <c r="N24" i="4"/>
  <c r="L24" i="4"/>
  <c r="N23" i="4"/>
  <c r="Q23" i="4" s="1"/>
  <c r="L23" i="4"/>
  <c r="Q22" i="4"/>
  <c r="N22" i="4"/>
  <c r="L22" i="4"/>
  <c r="Q21" i="4"/>
  <c r="N21" i="4"/>
  <c r="L21" i="4"/>
  <c r="N20" i="4"/>
  <c r="Q20" i="4" s="1"/>
  <c r="L20" i="4"/>
  <c r="N19" i="4"/>
  <c r="Q19" i="4" s="1"/>
  <c r="L19" i="4"/>
  <c r="Q18" i="4"/>
  <c r="N18" i="4"/>
  <c r="L18" i="4"/>
  <c r="N17" i="4"/>
  <c r="Q17" i="4" s="1"/>
  <c r="L17" i="4"/>
  <c r="N10" i="4"/>
  <c r="E13" i="4" s="1"/>
  <c r="N30" i="2"/>
  <c r="Q30" i="2" s="1"/>
  <c r="L30" i="2"/>
  <c r="Q29" i="2"/>
  <c r="N29" i="2"/>
  <c r="L29" i="2"/>
  <c r="N28" i="2"/>
  <c r="Q28" i="2" s="1"/>
  <c r="L28" i="2"/>
  <c r="Q27" i="2"/>
  <c r="N27" i="2"/>
  <c r="L27" i="2"/>
  <c r="N26" i="2"/>
  <c r="Q26" i="2" s="1"/>
  <c r="L26" i="2"/>
  <c r="N25" i="2"/>
  <c r="Q25" i="2" s="1"/>
  <c r="L25" i="2"/>
  <c r="N24" i="2"/>
  <c r="Q24" i="2" s="1"/>
  <c r="L24" i="2"/>
  <c r="Q23" i="2"/>
  <c r="N23" i="2"/>
  <c r="L23" i="2"/>
  <c r="N22" i="2"/>
  <c r="Q22" i="2" s="1"/>
  <c r="L22" i="2"/>
  <c r="Q21" i="2"/>
  <c r="N21" i="2"/>
  <c r="L21" i="2"/>
  <c r="Q20" i="2"/>
  <c r="N20" i="2"/>
  <c r="L20" i="2"/>
  <c r="N19" i="2"/>
  <c r="Q19" i="2" s="1"/>
  <c r="L19" i="2"/>
  <c r="N18" i="2"/>
  <c r="Q18" i="2" s="1"/>
  <c r="L18" i="2"/>
  <c r="Q17" i="2"/>
  <c r="N17" i="2"/>
  <c r="L17" i="2"/>
  <c r="N10" i="2"/>
  <c r="E13" i="2" s="1"/>
  <c r="Q30" i="3"/>
  <c r="N30" i="3"/>
  <c r="L30" i="3"/>
  <c r="N29" i="3"/>
  <c r="Q29" i="3" s="1"/>
  <c r="L29" i="3"/>
  <c r="N28" i="3"/>
  <c r="Q28" i="3" s="1"/>
  <c r="L28" i="3"/>
  <c r="N27" i="3"/>
  <c r="Q27" i="3" s="1"/>
  <c r="L27" i="3"/>
  <c r="N26" i="3"/>
  <c r="Q26" i="3" s="1"/>
  <c r="L26" i="3"/>
  <c r="N25" i="3"/>
  <c r="Q25" i="3" s="1"/>
  <c r="L25" i="3"/>
  <c r="N24" i="3"/>
  <c r="Q24" i="3" s="1"/>
  <c r="L24" i="3"/>
  <c r="N23" i="3"/>
  <c r="Q23" i="3" s="1"/>
  <c r="L23" i="3"/>
  <c r="Q22" i="3"/>
  <c r="N22" i="3"/>
  <c r="L22" i="3"/>
  <c r="N21" i="3"/>
  <c r="Q21" i="3" s="1"/>
  <c r="L21" i="3"/>
  <c r="N20" i="3"/>
  <c r="Q20" i="3" s="1"/>
  <c r="L20" i="3"/>
  <c r="Q19" i="3"/>
  <c r="N19" i="3"/>
  <c r="L19" i="3"/>
  <c r="Q18" i="3"/>
  <c r="N18" i="3"/>
  <c r="L18" i="3"/>
  <c r="N17" i="3"/>
  <c r="Q17" i="3" s="1"/>
  <c r="L17" i="3"/>
  <c r="N10" i="3"/>
  <c r="E13" i="3" s="1"/>
  <c r="M104" i="5"/>
  <c r="L104" i="5"/>
  <c r="K104" i="5"/>
  <c r="J104" i="5"/>
  <c r="I104" i="5"/>
  <c r="H104" i="5"/>
  <c r="G104" i="5"/>
  <c r="F104" i="5"/>
  <c r="E104" i="5"/>
  <c r="D104" i="5"/>
  <c r="C104" i="5"/>
  <c r="B104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M99" i="5"/>
  <c r="L99" i="5"/>
  <c r="K99" i="5"/>
  <c r="J99" i="5"/>
  <c r="I99" i="5"/>
  <c r="H99" i="5"/>
  <c r="G99" i="5"/>
  <c r="F99" i="5"/>
  <c r="E99" i="5"/>
  <c r="D99" i="5"/>
  <c r="C99" i="5"/>
  <c r="B99" i="5"/>
  <c r="M98" i="5"/>
  <c r="L98" i="5"/>
  <c r="K98" i="5"/>
  <c r="J98" i="5"/>
  <c r="I98" i="5"/>
  <c r="H98" i="5"/>
  <c r="G98" i="5"/>
  <c r="F98" i="5"/>
  <c r="E98" i="5"/>
  <c r="D98" i="5"/>
  <c r="C98" i="5"/>
  <c r="B98" i="5"/>
  <c r="M97" i="5"/>
  <c r="L97" i="5"/>
  <c r="K97" i="5"/>
  <c r="J97" i="5"/>
  <c r="I97" i="5"/>
  <c r="H97" i="5"/>
  <c r="G97" i="5"/>
  <c r="F97" i="5"/>
  <c r="E97" i="5"/>
  <c r="D97" i="5"/>
  <c r="C97" i="5"/>
  <c r="B97" i="5"/>
  <c r="M96" i="5"/>
  <c r="L96" i="5"/>
  <c r="K96" i="5"/>
  <c r="J96" i="5"/>
  <c r="I96" i="5"/>
  <c r="H96" i="5"/>
  <c r="G96" i="5"/>
  <c r="F96" i="5"/>
  <c r="E96" i="5"/>
  <c r="D96" i="5"/>
  <c r="C96" i="5"/>
  <c r="B96" i="5"/>
  <c r="M95" i="5"/>
  <c r="L95" i="5"/>
  <c r="K95" i="5"/>
  <c r="J95" i="5"/>
  <c r="I95" i="5"/>
  <c r="H95" i="5"/>
  <c r="G95" i="5"/>
  <c r="F95" i="5"/>
  <c r="E95" i="5"/>
  <c r="D95" i="5"/>
  <c r="C95" i="5"/>
  <c r="B95" i="5"/>
  <c r="M94" i="5"/>
  <c r="L94" i="5"/>
  <c r="K94" i="5"/>
  <c r="J94" i="5"/>
  <c r="I94" i="5"/>
  <c r="H94" i="5"/>
  <c r="G94" i="5"/>
  <c r="F94" i="5"/>
  <c r="E94" i="5"/>
  <c r="D94" i="5"/>
  <c r="C94" i="5"/>
  <c r="B94" i="5"/>
  <c r="M93" i="5"/>
  <c r="L93" i="5"/>
  <c r="K93" i="5"/>
  <c r="J93" i="5"/>
  <c r="I93" i="5"/>
  <c r="H93" i="5"/>
  <c r="G93" i="5"/>
  <c r="F93" i="5"/>
  <c r="E93" i="5"/>
  <c r="D93" i="5"/>
  <c r="C93" i="5"/>
  <c r="B93" i="5"/>
  <c r="M92" i="5"/>
  <c r="L92" i="5"/>
  <c r="K92" i="5"/>
  <c r="J92" i="5"/>
  <c r="I92" i="5"/>
  <c r="H92" i="5"/>
  <c r="G92" i="5"/>
  <c r="F92" i="5"/>
  <c r="E92" i="5"/>
  <c r="D92" i="5"/>
  <c r="C92" i="5"/>
  <c r="B92" i="5"/>
  <c r="M91" i="5"/>
  <c r="L91" i="5"/>
  <c r="K91" i="5"/>
  <c r="J91" i="5"/>
  <c r="I91" i="5"/>
  <c r="H91" i="5"/>
  <c r="G91" i="5"/>
  <c r="F91" i="5"/>
  <c r="E91" i="5"/>
  <c r="D91" i="5"/>
  <c r="C91" i="5"/>
  <c r="B91" i="5"/>
  <c r="J84" i="5"/>
  <c r="H84" i="5"/>
  <c r="G84" i="5"/>
  <c r="F84" i="5"/>
  <c r="AI15" i="5"/>
  <c r="AH15" i="5"/>
  <c r="AJ15" i="5" s="1"/>
  <c r="AK15" i="5" s="1"/>
  <c r="L15" i="5"/>
  <c r="J15" i="5"/>
  <c r="I15" i="5"/>
  <c r="H15" i="5"/>
  <c r="F15" i="5"/>
  <c r="E15" i="5"/>
  <c r="K15" i="5" s="1"/>
  <c r="C15" i="5"/>
  <c r="B15" i="5"/>
  <c r="AI14" i="5"/>
  <c r="AH14" i="5"/>
  <c r="AJ14" i="5" s="1"/>
  <c r="AK14" i="5" s="1"/>
  <c r="J14" i="5"/>
  <c r="I14" i="5"/>
  <c r="F14" i="5"/>
  <c r="E14" i="5"/>
  <c r="K14" i="5" s="1"/>
  <c r="C14" i="5"/>
  <c r="H14" i="5" s="1"/>
  <c r="B14" i="5"/>
  <c r="G14" i="5" s="1"/>
  <c r="AI13" i="5"/>
  <c r="AH13" i="5"/>
  <c r="L13" i="5"/>
  <c r="J13" i="5"/>
  <c r="I13" i="5"/>
  <c r="F13" i="5"/>
  <c r="J50" i="5" s="1"/>
  <c r="E13" i="5"/>
  <c r="K13" i="5" s="1"/>
  <c r="C13" i="5"/>
  <c r="H13" i="5" s="1"/>
  <c r="B13" i="5"/>
  <c r="G13" i="5" s="1"/>
  <c r="AI12" i="5"/>
  <c r="AH12" i="5"/>
  <c r="J12" i="5"/>
  <c r="I12" i="5"/>
  <c r="F12" i="5"/>
  <c r="V49" i="5" s="1"/>
  <c r="E12" i="5"/>
  <c r="K12" i="5" s="1"/>
  <c r="C12" i="5"/>
  <c r="H12" i="5" s="1"/>
  <c r="B12" i="5"/>
  <c r="G12" i="5" s="1"/>
  <c r="AI11" i="5"/>
  <c r="AJ11" i="5" s="1"/>
  <c r="AK11" i="5" s="1"/>
  <c r="AH11" i="5"/>
  <c r="J11" i="5"/>
  <c r="I11" i="5"/>
  <c r="F11" i="5"/>
  <c r="E11" i="5"/>
  <c r="L11" i="5" s="1"/>
  <c r="C11" i="5"/>
  <c r="H11" i="5" s="1"/>
  <c r="B11" i="5"/>
  <c r="G11" i="5" s="1"/>
  <c r="AI10" i="5"/>
  <c r="AH10" i="5"/>
  <c r="AJ10" i="5" s="1"/>
  <c r="AK10" i="5" s="1"/>
  <c r="J10" i="5"/>
  <c r="I10" i="5"/>
  <c r="F10" i="5"/>
  <c r="S31" i="5" s="1"/>
  <c r="E10" i="5"/>
  <c r="K10" i="5" s="1"/>
  <c r="C10" i="5"/>
  <c r="H10" i="5" s="1"/>
  <c r="B10" i="5"/>
  <c r="G10" i="5" s="1"/>
  <c r="AI9" i="5"/>
  <c r="AJ9" i="5" s="1"/>
  <c r="AK9" i="5" s="1"/>
  <c r="AH9" i="5"/>
  <c r="J9" i="5"/>
  <c r="I9" i="5"/>
  <c r="F9" i="5"/>
  <c r="V46" i="5" s="1"/>
  <c r="E9" i="5"/>
  <c r="L9" i="5" s="1"/>
  <c r="C9" i="5"/>
  <c r="H9" i="5" s="1"/>
  <c r="B9" i="5"/>
  <c r="G9" i="5" s="1"/>
  <c r="AI8" i="5"/>
  <c r="AH8" i="5"/>
  <c r="AJ8" i="5" s="1"/>
  <c r="AK8" i="5" s="1"/>
  <c r="J8" i="5"/>
  <c r="I8" i="5"/>
  <c r="F8" i="5"/>
  <c r="G29" i="5" s="1"/>
  <c r="E8" i="5"/>
  <c r="K8" i="5" s="1"/>
  <c r="C8" i="5"/>
  <c r="H8" i="5" s="1"/>
  <c r="B8" i="5"/>
  <c r="G8" i="5" s="1"/>
  <c r="AI7" i="5"/>
  <c r="AH7" i="5"/>
  <c r="L7" i="5"/>
  <c r="J7" i="5"/>
  <c r="I7" i="5"/>
  <c r="F7" i="5"/>
  <c r="V44" i="5" s="1"/>
  <c r="E7" i="5"/>
  <c r="K7" i="5" s="1"/>
  <c r="C7" i="5"/>
  <c r="H7" i="5" s="1"/>
  <c r="B7" i="5"/>
  <c r="G7" i="5" s="1"/>
  <c r="AI6" i="5"/>
  <c r="AH6" i="5"/>
  <c r="J6" i="5"/>
  <c r="I6" i="5"/>
  <c r="F6" i="5"/>
  <c r="S43" i="5" s="1"/>
  <c r="E6" i="5"/>
  <c r="K6" i="5" s="1"/>
  <c r="C6" i="5"/>
  <c r="H6" i="5" s="1"/>
  <c r="B6" i="5"/>
  <c r="G6" i="5" s="1"/>
  <c r="AI5" i="5"/>
  <c r="AH5" i="5"/>
  <c r="L5" i="5"/>
  <c r="J5" i="5"/>
  <c r="I5" i="5"/>
  <c r="F5" i="5"/>
  <c r="E5" i="5"/>
  <c r="K5" i="5" s="1"/>
  <c r="C5" i="5"/>
  <c r="H5" i="5" s="1"/>
  <c r="B5" i="5"/>
  <c r="G5" i="5" s="1"/>
  <c r="AI4" i="5"/>
  <c r="AH4" i="5"/>
  <c r="J4" i="5"/>
  <c r="I4" i="5"/>
  <c r="F4" i="5"/>
  <c r="V41" i="5" s="1"/>
  <c r="E4" i="5"/>
  <c r="K4" i="5" s="1"/>
  <c r="C4" i="5"/>
  <c r="H4" i="5" s="1"/>
  <c r="B4" i="5"/>
  <c r="G4" i="5" s="1"/>
  <c r="AI3" i="5"/>
  <c r="AJ3" i="5" s="1"/>
  <c r="AK3" i="5" s="1"/>
  <c r="AH3" i="5"/>
  <c r="J3" i="5"/>
  <c r="I3" i="5"/>
  <c r="F3" i="5"/>
  <c r="AG40" i="5" s="1"/>
  <c r="E3" i="5"/>
  <c r="L3" i="5" s="1"/>
  <c r="C3" i="5"/>
  <c r="H3" i="5" s="1"/>
  <c r="B3" i="5"/>
  <c r="G3" i="5" s="1"/>
  <c r="AI2" i="5"/>
  <c r="AH2" i="5"/>
  <c r="AJ2" i="5" s="1"/>
  <c r="AK2" i="5" s="1"/>
  <c r="J2" i="5"/>
  <c r="I2" i="5"/>
  <c r="F2" i="5"/>
  <c r="AG23" i="5" s="1"/>
  <c r="E2" i="5"/>
  <c r="K2" i="5" s="1"/>
  <c r="C2" i="5"/>
  <c r="H2" i="5" s="1"/>
  <c r="B2" i="5"/>
  <c r="G2" i="5" s="1"/>
  <c r="K3" i="5" l="1"/>
  <c r="L8" i="5"/>
  <c r="K11" i="5"/>
  <c r="I23" i="5"/>
  <c r="D25" i="5"/>
  <c r="G27" i="5"/>
  <c r="S29" i="5"/>
  <c r="AE31" i="5"/>
  <c r="G39" i="5"/>
  <c r="S45" i="5"/>
  <c r="I16" i="5"/>
  <c r="L6" i="5"/>
  <c r="AJ7" i="5"/>
  <c r="AK7" i="5" s="1"/>
  <c r="K9" i="5"/>
  <c r="L14" i="5"/>
  <c r="P23" i="5"/>
  <c r="M25" i="5"/>
  <c r="S27" i="5"/>
  <c r="AE29" i="5"/>
  <c r="G33" i="5"/>
  <c r="AE39" i="5"/>
  <c r="S47" i="5"/>
  <c r="L4" i="5"/>
  <c r="AJ5" i="5"/>
  <c r="AK5" i="5" s="1"/>
  <c r="AJ6" i="5"/>
  <c r="AK6" i="5" s="1"/>
  <c r="L12" i="5"/>
  <c r="AJ13" i="5"/>
  <c r="AK13" i="5" s="1"/>
  <c r="Y23" i="5"/>
  <c r="U25" i="5"/>
  <c r="AE27" i="5"/>
  <c r="G31" i="5"/>
  <c r="S33" i="5"/>
  <c r="S41" i="5"/>
  <c r="S49" i="5"/>
  <c r="L2" i="5"/>
  <c r="AJ4" i="5"/>
  <c r="AK4" i="5" s="1"/>
  <c r="L10" i="5"/>
  <c r="AJ12" i="5"/>
  <c r="AK12" i="5" s="1"/>
  <c r="AE25" i="5"/>
  <c r="AJ33" i="5"/>
  <c r="K16" i="5"/>
  <c r="B19" i="5" s="1"/>
  <c r="AJ42" i="5"/>
  <c r="AD42" i="5"/>
  <c r="X42" i="5"/>
  <c r="R42" i="5"/>
  <c r="L42" i="5"/>
  <c r="F42" i="5"/>
  <c r="AG42" i="5"/>
  <c r="AA42" i="5"/>
  <c r="U42" i="5"/>
  <c r="O42" i="5"/>
  <c r="I42" i="5"/>
  <c r="C42" i="5"/>
  <c r="AK42" i="5"/>
  <c r="Y42" i="5"/>
  <c r="M42" i="5"/>
  <c r="AH26" i="5"/>
  <c r="AB26" i="5"/>
  <c r="V26" i="5"/>
  <c r="P26" i="5"/>
  <c r="J26" i="5"/>
  <c r="D26" i="5"/>
  <c r="AB42" i="5"/>
  <c r="P42" i="5"/>
  <c r="D42" i="5"/>
  <c r="AJ26" i="5"/>
  <c r="AD26" i="5"/>
  <c r="X26" i="5"/>
  <c r="R26" i="5"/>
  <c r="L26" i="5"/>
  <c r="F26" i="5"/>
  <c r="AJ48" i="5"/>
  <c r="AD48" i="5"/>
  <c r="X48" i="5"/>
  <c r="R48" i="5"/>
  <c r="L48" i="5"/>
  <c r="F48" i="5"/>
  <c r="AG48" i="5"/>
  <c r="AA48" i="5"/>
  <c r="U48" i="5"/>
  <c r="O48" i="5"/>
  <c r="I48" i="5"/>
  <c r="C48" i="5"/>
  <c r="AK48" i="5"/>
  <c r="Y48" i="5"/>
  <c r="M48" i="5"/>
  <c r="AH32" i="5"/>
  <c r="AB32" i="5"/>
  <c r="V32" i="5"/>
  <c r="P32" i="5"/>
  <c r="J32" i="5"/>
  <c r="D32" i="5"/>
  <c r="AB48" i="5"/>
  <c r="P48" i="5"/>
  <c r="D48" i="5"/>
  <c r="AJ32" i="5"/>
  <c r="AD32" i="5"/>
  <c r="X32" i="5"/>
  <c r="R32" i="5"/>
  <c r="L32" i="5"/>
  <c r="F32" i="5"/>
  <c r="G28" i="5"/>
  <c r="AE28" i="5"/>
  <c r="S30" i="5"/>
  <c r="G32" i="5"/>
  <c r="S34" i="5"/>
  <c r="AE42" i="5"/>
  <c r="G44" i="5"/>
  <c r="G50" i="5"/>
  <c r="AJ39" i="5"/>
  <c r="AD39" i="5"/>
  <c r="X39" i="5"/>
  <c r="R39" i="5"/>
  <c r="L39" i="5"/>
  <c r="F39" i="5"/>
  <c r="AG39" i="5"/>
  <c r="AA39" i="5"/>
  <c r="U39" i="5"/>
  <c r="O39" i="5"/>
  <c r="I39" i="5"/>
  <c r="C39" i="5"/>
  <c r="AK39" i="5"/>
  <c r="Y39" i="5"/>
  <c r="M39" i="5"/>
  <c r="AB39" i="5"/>
  <c r="P39" i="5"/>
  <c r="D39" i="5"/>
  <c r="AJ23" i="5"/>
  <c r="AD23" i="5"/>
  <c r="X23" i="5"/>
  <c r="R23" i="5"/>
  <c r="L23" i="5"/>
  <c r="F23" i="5"/>
  <c r="AJ43" i="5"/>
  <c r="AD43" i="5"/>
  <c r="X43" i="5"/>
  <c r="R43" i="5"/>
  <c r="L43" i="5"/>
  <c r="F43" i="5"/>
  <c r="AG43" i="5"/>
  <c r="AA43" i="5"/>
  <c r="U43" i="5"/>
  <c r="O43" i="5"/>
  <c r="I43" i="5"/>
  <c r="C43" i="5"/>
  <c r="AK43" i="5"/>
  <c r="Y43" i="5"/>
  <c r="M43" i="5"/>
  <c r="AH27" i="5"/>
  <c r="AB27" i="5"/>
  <c r="V27" i="5"/>
  <c r="P27" i="5"/>
  <c r="J27" i="5"/>
  <c r="D27" i="5"/>
  <c r="AB43" i="5"/>
  <c r="P43" i="5"/>
  <c r="D43" i="5"/>
  <c r="AJ27" i="5"/>
  <c r="AD27" i="5"/>
  <c r="X27" i="5"/>
  <c r="R27" i="5"/>
  <c r="L27" i="5"/>
  <c r="F27" i="5"/>
  <c r="AJ45" i="5"/>
  <c r="AD45" i="5"/>
  <c r="X45" i="5"/>
  <c r="R45" i="5"/>
  <c r="L45" i="5"/>
  <c r="F45" i="5"/>
  <c r="AG45" i="5"/>
  <c r="AA45" i="5"/>
  <c r="U45" i="5"/>
  <c r="O45" i="5"/>
  <c r="I45" i="5"/>
  <c r="C45" i="5"/>
  <c r="AK45" i="5"/>
  <c r="Y45" i="5"/>
  <c r="M45" i="5"/>
  <c r="AH29" i="5"/>
  <c r="AB29" i="5"/>
  <c r="V29" i="5"/>
  <c r="P29" i="5"/>
  <c r="J29" i="5"/>
  <c r="D29" i="5"/>
  <c r="AB45" i="5"/>
  <c r="P45" i="5"/>
  <c r="D45" i="5"/>
  <c r="AJ29" i="5"/>
  <c r="AD29" i="5"/>
  <c r="X29" i="5"/>
  <c r="R29" i="5"/>
  <c r="L29" i="5"/>
  <c r="F29" i="5"/>
  <c r="AJ47" i="5"/>
  <c r="AD47" i="5"/>
  <c r="X47" i="5"/>
  <c r="R47" i="5"/>
  <c r="L47" i="5"/>
  <c r="F47" i="5"/>
  <c r="AG47" i="5"/>
  <c r="AA47" i="5"/>
  <c r="U47" i="5"/>
  <c r="O47" i="5"/>
  <c r="I47" i="5"/>
  <c r="C47" i="5"/>
  <c r="AK47" i="5"/>
  <c r="Y47" i="5"/>
  <c r="M47" i="5"/>
  <c r="AH31" i="5"/>
  <c r="AB31" i="5"/>
  <c r="V31" i="5"/>
  <c r="P31" i="5"/>
  <c r="J31" i="5"/>
  <c r="D31" i="5"/>
  <c r="AB47" i="5"/>
  <c r="P47" i="5"/>
  <c r="D47" i="5"/>
  <c r="AJ31" i="5"/>
  <c r="AD31" i="5"/>
  <c r="X31" i="5"/>
  <c r="R31" i="5"/>
  <c r="L31" i="5"/>
  <c r="F31" i="5"/>
  <c r="G23" i="5"/>
  <c r="O23" i="5"/>
  <c r="V23" i="5"/>
  <c r="AE23" i="5"/>
  <c r="C25" i="5"/>
  <c r="J25" i="5"/>
  <c r="S25" i="5"/>
  <c r="AA25" i="5"/>
  <c r="C26" i="5"/>
  <c r="O26" i="5"/>
  <c r="AA26" i="5"/>
  <c r="C27" i="5"/>
  <c r="O27" i="5"/>
  <c r="AA27" i="5"/>
  <c r="C28" i="5"/>
  <c r="O28" i="5"/>
  <c r="AA28" i="5"/>
  <c r="C29" i="5"/>
  <c r="O29" i="5"/>
  <c r="AA29" i="5"/>
  <c r="C30" i="5"/>
  <c r="O30" i="5"/>
  <c r="AA30" i="5"/>
  <c r="C31" i="5"/>
  <c r="O31" i="5"/>
  <c r="AA31" i="5"/>
  <c r="C32" i="5"/>
  <c r="O32" i="5"/>
  <c r="AA32" i="5"/>
  <c r="C33" i="5"/>
  <c r="O33" i="5"/>
  <c r="AD33" i="5"/>
  <c r="J34" i="5"/>
  <c r="AH34" i="5"/>
  <c r="V39" i="5"/>
  <c r="J41" i="5"/>
  <c r="AH41" i="5"/>
  <c r="V42" i="5"/>
  <c r="J43" i="5"/>
  <c r="AH43" i="5"/>
  <c r="J45" i="5"/>
  <c r="AH45" i="5"/>
  <c r="J47" i="5"/>
  <c r="AH47" i="5"/>
  <c r="V48" i="5"/>
  <c r="J49" i="5"/>
  <c r="AH49" i="5"/>
  <c r="V50" i="5"/>
  <c r="AJ44" i="5"/>
  <c r="AD44" i="5"/>
  <c r="X44" i="5"/>
  <c r="R44" i="5"/>
  <c r="L44" i="5"/>
  <c r="F44" i="5"/>
  <c r="AG44" i="5"/>
  <c r="AA44" i="5"/>
  <c r="U44" i="5"/>
  <c r="O44" i="5"/>
  <c r="I44" i="5"/>
  <c r="C44" i="5"/>
  <c r="AK44" i="5"/>
  <c r="Y44" i="5"/>
  <c r="M44" i="5"/>
  <c r="AH28" i="5"/>
  <c r="AB28" i="5"/>
  <c r="V28" i="5"/>
  <c r="P28" i="5"/>
  <c r="J28" i="5"/>
  <c r="D28" i="5"/>
  <c r="AB44" i="5"/>
  <c r="P44" i="5"/>
  <c r="D44" i="5"/>
  <c r="AJ28" i="5"/>
  <c r="AD28" i="5"/>
  <c r="X28" i="5"/>
  <c r="R28" i="5"/>
  <c r="L28" i="5"/>
  <c r="F28" i="5"/>
  <c r="AJ46" i="5"/>
  <c r="AD46" i="5"/>
  <c r="X46" i="5"/>
  <c r="R46" i="5"/>
  <c r="L46" i="5"/>
  <c r="F46" i="5"/>
  <c r="AG46" i="5"/>
  <c r="AA46" i="5"/>
  <c r="U46" i="5"/>
  <c r="O46" i="5"/>
  <c r="I46" i="5"/>
  <c r="C46" i="5"/>
  <c r="AK46" i="5"/>
  <c r="Y46" i="5"/>
  <c r="M46" i="5"/>
  <c r="AH30" i="5"/>
  <c r="AB30" i="5"/>
  <c r="V30" i="5"/>
  <c r="P30" i="5"/>
  <c r="J30" i="5"/>
  <c r="D30" i="5"/>
  <c r="AB46" i="5"/>
  <c r="P46" i="5"/>
  <c r="D46" i="5"/>
  <c r="AJ30" i="5"/>
  <c r="AD30" i="5"/>
  <c r="X30" i="5"/>
  <c r="R30" i="5"/>
  <c r="L30" i="5"/>
  <c r="F30" i="5"/>
  <c r="G26" i="5"/>
  <c r="AE26" i="5"/>
  <c r="S28" i="5"/>
  <c r="AE30" i="5"/>
  <c r="AE32" i="5"/>
  <c r="AE44" i="5"/>
  <c r="G46" i="5"/>
  <c r="AH50" i="5"/>
  <c r="C23" i="5"/>
  <c r="J23" i="5"/>
  <c r="S23" i="5"/>
  <c r="AA23" i="5"/>
  <c r="AH23" i="5"/>
  <c r="G25" i="5"/>
  <c r="O25" i="5"/>
  <c r="V25" i="5"/>
  <c r="AG25" i="5"/>
  <c r="I26" i="5"/>
  <c r="U26" i="5"/>
  <c r="AG26" i="5"/>
  <c r="I27" i="5"/>
  <c r="U27" i="5"/>
  <c r="AG27" i="5"/>
  <c r="I28" i="5"/>
  <c r="U28" i="5"/>
  <c r="AG28" i="5"/>
  <c r="I29" i="5"/>
  <c r="U29" i="5"/>
  <c r="AG29" i="5"/>
  <c r="I30" i="5"/>
  <c r="U30" i="5"/>
  <c r="AG30" i="5"/>
  <c r="I31" i="5"/>
  <c r="U31" i="5"/>
  <c r="AG31" i="5"/>
  <c r="I32" i="5"/>
  <c r="U32" i="5"/>
  <c r="AG32" i="5"/>
  <c r="I33" i="5"/>
  <c r="V33" i="5"/>
  <c r="AK33" i="5"/>
  <c r="V34" i="5"/>
  <c r="J39" i="5"/>
  <c r="AH39" i="5"/>
  <c r="J42" i="5"/>
  <c r="AH42" i="5"/>
  <c r="V43" i="5"/>
  <c r="J44" i="5"/>
  <c r="AH44" i="5"/>
  <c r="V45" i="5"/>
  <c r="J46" i="5"/>
  <c r="AH46" i="5"/>
  <c r="V47" i="5"/>
  <c r="J48" i="5"/>
  <c r="AH48" i="5"/>
  <c r="AK50" i="5"/>
  <c r="AE50" i="5"/>
  <c r="AJ50" i="5"/>
  <c r="AD50" i="5"/>
  <c r="X50" i="5"/>
  <c r="R50" i="5"/>
  <c r="L50" i="5"/>
  <c r="F50" i="5"/>
  <c r="AJ34" i="5"/>
  <c r="AD34" i="5"/>
  <c r="X34" i="5"/>
  <c r="R34" i="5"/>
  <c r="L34" i="5"/>
  <c r="AG50" i="5"/>
  <c r="AA50" i="5"/>
  <c r="U50" i="5"/>
  <c r="O50" i="5"/>
  <c r="I50" i="5"/>
  <c r="C50" i="5"/>
  <c r="AG34" i="5"/>
  <c r="AA34" i="5"/>
  <c r="U34" i="5"/>
  <c r="O34" i="5"/>
  <c r="I34" i="5"/>
  <c r="C34" i="5"/>
  <c r="Y50" i="5"/>
  <c r="M50" i="5"/>
  <c r="AK34" i="5"/>
  <c r="Y34" i="5"/>
  <c r="M34" i="5"/>
  <c r="D34" i="5"/>
  <c r="AB50" i="5"/>
  <c r="P50" i="5"/>
  <c r="D50" i="5"/>
  <c r="AB34" i="5"/>
  <c r="P34" i="5"/>
  <c r="F34" i="5"/>
  <c r="S26" i="5"/>
  <c r="G30" i="5"/>
  <c r="S32" i="5"/>
  <c r="G42" i="5"/>
  <c r="AE46" i="5"/>
  <c r="G48" i="5"/>
  <c r="AE48" i="5"/>
  <c r="B17" i="5"/>
  <c r="AJ41" i="5"/>
  <c r="AD41" i="5"/>
  <c r="X41" i="5"/>
  <c r="R41" i="5"/>
  <c r="L41" i="5"/>
  <c r="F41" i="5"/>
  <c r="AG41" i="5"/>
  <c r="AA41" i="5"/>
  <c r="U41" i="5"/>
  <c r="O41" i="5"/>
  <c r="I41" i="5"/>
  <c r="C41" i="5"/>
  <c r="AK41" i="5"/>
  <c r="Y41" i="5"/>
  <c r="M41" i="5"/>
  <c r="AH25" i="5"/>
  <c r="AB25" i="5"/>
  <c r="AB41" i="5"/>
  <c r="P41" i="5"/>
  <c r="D41" i="5"/>
  <c r="AJ25" i="5"/>
  <c r="AD25" i="5"/>
  <c r="X25" i="5"/>
  <c r="R25" i="5"/>
  <c r="L25" i="5"/>
  <c r="F25" i="5"/>
  <c r="AJ49" i="5"/>
  <c r="AD49" i="5"/>
  <c r="X49" i="5"/>
  <c r="R49" i="5"/>
  <c r="L49" i="5"/>
  <c r="F49" i="5"/>
  <c r="AG49" i="5"/>
  <c r="AA49" i="5"/>
  <c r="U49" i="5"/>
  <c r="O49" i="5"/>
  <c r="I49" i="5"/>
  <c r="C49" i="5"/>
  <c r="AG33" i="5"/>
  <c r="AA33" i="5"/>
  <c r="U33" i="5"/>
  <c r="AK49" i="5"/>
  <c r="Y49" i="5"/>
  <c r="M49" i="5"/>
  <c r="AE33" i="5"/>
  <c r="X33" i="5"/>
  <c r="P33" i="5"/>
  <c r="J33" i="5"/>
  <c r="D33" i="5"/>
  <c r="AB49" i="5"/>
  <c r="P49" i="5"/>
  <c r="D49" i="5"/>
  <c r="AH33" i="5"/>
  <c r="Y33" i="5"/>
  <c r="R33" i="5"/>
  <c r="L33" i="5"/>
  <c r="F33" i="5"/>
  <c r="J16" i="5"/>
  <c r="D23" i="5"/>
  <c r="M23" i="5"/>
  <c r="U23" i="5"/>
  <c r="AB23" i="5"/>
  <c r="AK23" i="5"/>
  <c r="I25" i="5"/>
  <c r="P25" i="5"/>
  <c r="Y25" i="5"/>
  <c r="AK25" i="5"/>
  <c r="M26" i="5"/>
  <c r="Y26" i="5"/>
  <c r="AK26" i="5"/>
  <c r="M27" i="5"/>
  <c r="Y27" i="5"/>
  <c r="AK27" i="5"/>
  <c r="M28" i="5"/>
  <c r="Y28" i="5"/>
  <c r="AK28" i="5"/>
  <c r="M29" i="5"/>
  <c r="Y29" i="5"/>
  <c r="AK29" i="5"/>
  <c r="M30" i="5"/>
  <c r="Y30" i="5"/>
  <c r="AK30" i="5"/>
  <c r="M31" i="5"/>
  <c r="Y31" i="5"/>
  <c r="AK31" i="5"/>
  <c r="M32" i="5"/>
  <c r="Y32" i="5"/>
  <c r="AK32" i="5"/>
  <c r="M33" i="5"/>
  <c r="AB33" i="5"/>
  <c r="G34" i="5"/>
  <c r="AE34" i="5"/>
  <c r="S39" i="5"/>
  <c r="G41" i="5"/>
  <c r="AE41" i="5"/>
  <c r="S42" i="5"/>
  <c r="G43" i="5"/>
  <c r="AE43" i="5"/>
  <c r="S44" i="5"/>
  <c r="G45" i="5"/>
  <c r="AE45" i="5"/>
  <c r="S46" i="5"/>
  <c r="G47" i="5"/>
  <c r="AE47" i="5"/>
  <c r="S48" i="5"/>
  <c r="G49" i="5"/>
  <c r="AE49" i="5"/>
  <c r="S50" i="5"/>
  <c r="D24" i="5"/>
  <c r="J24" i="5"/>
  <c r="P24" i="5"/>
  <c r="V24" i="5"/>
  <c r="AB24" i="5"/>
  <c r="AH24" i="5"/>
  <c r="D40" i="5"/>
  <c r="J40" i="5"/>
  <c r="P40" i="5"/>
  <c r="V40" i="5"/>
  <c r="AB40" i="5"/>
  <c r="AH40" i="5"/>
  <c r="F24" i="5"/>
  <c r="L24" i="5"/>
  <c r="R24" i="5"/>
  <c r="X24" i="5"/>
  <c r="AD24" i="5"/>
  <c r="AJ24" i="5"/>
  <c r="F40" i="5"/>
  <c r="L40" i="5"/>
  <c r="R40" i="5"/>
  <c r="X40" i="5"/>
  <c r="AD40" i="5"/>
  <c r="AJ40" i="5"/>
  <c r="G24" i="5"/>
  <c r="M24" i="5"/>
  <c r="S24" i="5"/>
  <c r="Y24" i="5"/>
  <c r="AE24" i="5"/>
  <c r="AK24" i="5"/>
  <c r="G40" i="5"/>
  <c r="M40" i="5"/>
  <c r="S40" i="5"/>
  <c r="Y40" i="5"/>
  <c r="AE40" i="5"/>
  <c r="AK40" i="5"/>
  <c r="C24" i="5"/>
  <c r="I24" i="5"/>
  <c r="O24" i="5"/>
  <c r="U24" i="5"/>
  <c r="AA24" i="5"/>
  <c r="AG24" i="5"/>
  <c r="C40" i="5"/>
  <c r="I40" i="5"/>
  <c r="O40" i="5"/>
  <c r="U40" i="5"/>
  <c r="U51" i="5" s="1"/>
  <c r="AE8" i="5" s="1"/>
  <c r="AA40" i="5"/>
  <c r="I86" i="5"/>
  <c r="D84" i="5"/>
  <c r="R35" i="5" l="1"/>
  <c r="AA7" i="5" s="1"/>
  <c r="AG51" i="5"/>
  <c r="AE12" i="5" s="1"/>
  <c r="L16" i="5"/>
  <c r="D19" i="5" s="1"/>
  <c r="I35" i="5"/>
  <c r="AA4" i="5" s="1"/>
  <c r="Y51" i="5"/>
  <c r="AF9" i="5" s="1"/>
  <c r="AK35" i="5"/>
  <c r="AB13" i="5" s="1"/>
  <c r="M35" i="5"/>
  <c r="AB5" i="5" s="1"/>
  <c r="X51" i="5"/>
  <c r="AE9" i="5" s="1"/>
  <c r="AJ35" i="5"/>
  <c r="AA13" i="5" s="1"/>
  <c r="L35" i="5"/>
  <c r="AA5" i="5" s="1"/>
  <c r="V51" i="5"/>
  <c r="AF8" i="5" s="1"/>
  <c r="AH35" i="5"/>
  <c r="AB12" i="5" s="1"/>
  <c r="J35" i="5"/>
  <c r="AB4" i="5" s="1"/>
  <c r="J17" i="5"/>
  <c r="S11" i="5" s="1"/>
  <c r="T11" i="5" s="1"/>
  <c r="I17" i="5"/>
  <c r="AG35" i="5"/>
  <c r="AA12" i="5" s="1"/>
  <c r="AE35" i="5"/>
  <c r="AB11" i="5" s="1"/>
  <c r="F19" i="5"/>
  <c r="AA35" i="5"/>
  <c r="AA10" i="5" s="1"/>
  <c r="S51" i="5"/>
  <c r="AF7" i="5" s="1"/>
  <c r="R51" i="5"/>
  <c r="AE7" i="5" s="1"/>
  <c r="AD35" i="5"/>
  <c r="AA11" i="5" s="1"/>
  <c r="AB35" i="5"/>
  <c r="AB10" i="5" s="1"/>
  <c r="AA51" i="5"/>
  <c r="AE10" i="5" s="1"/>
  <c r="C51" i="5"/>
  <c r="AE2" i="5" s="1"/>
  <c r="O35" i="5"/>
  <c r="AA6" i="5" s="1"/>
  <c r="AE51" i="5"/>
  <c r="AF11" i="5" s="1"/>
  <c r="G51" i="5"/>
  <c r="AF3" i="5" s="1"/>
  <c r="V3" i="5" s="1"/>
  <c r="W3" i="5" s="1"/>
  <c r="S35" i="5"/>
  <c r="AB7" i="5" s="1"/>
  <c r="AD51" i="5"/>
  <c r="AE11" i="5" s="1"/>
  <c r="F51" i="5"/>
  <c r="AE3" i="5" s="1"/>
  <c r="AB51" i="5"/>
  <c r="AF10" i="5" s="1"/>
  <c r="V10" i="5" s="1"/>
  <c r="W10" i="5" s="1"/>
  <c r="D51" i="5"/>
  <c r="AF2" i="5" s="1"/>
  <c r="V2" i="5" s="1"/>
  <c r="W2" i="5" s="1"/>
  <c r="P35" i="5"/>
  <c r="AB6" i="5" s="1"/>
  <c r="P51" i="5"/>
  <c r="AF6" i="5" s="1"/>
  <c r="O51" i="5"/>
  <c r="AE6" i="5" s="1"/>
  <c r="V6" i="5" s="1"/>
  <c r="W6" i="5" s="1"/>
  <c r="C35" i="5"/>
  <c r="AA2" i="5" s="1"/>
  <c r="G35" i="5"/>
  <c r="AB3" i="5" s="1"/>
  <c r="F35" i="5"/>
  <c r="AA3" i="5" s="1"/>
  <c r="D35" i="5"/>
  <c r="AB2" i="5" s="1"/>
  <c r="I51" i="5"/>
  <c r="AE4" i="5" s="1"/>
  <c r="U35" i="5"/>
  <c r="AA8" i="5" s="1"/>
  <c r="AK51" i="5"/>
  <c r="AF13" i="5" s="1"/>
  <c r="M51" i="5"/>
  <c r="AF5" i="5" s="1"/>
  <c r="V5" i="5" s="1"/>
  <c r="W5" i="5" s="1"/>
  <c r="Y35" i="5"/>
  <c r="AB9" i="5" s="1"/>
  <c r="AJ51" i="5"/>
  <c r="AE13" i="5" s="1"/>
  <c r="L51" i="5"/>
  <c r="AE5" i="5" s="1"/>
  <c r="X35" i="5"/>
  <c r="AA9" i="5" s="1"/>
  <c r="S9" i="5" s="1"/>
  <c r="T9" i="5" s="1"/>
  <c r="AH51" i="5"/>
  <c r="AF12" i="5" s="1"/>
  <c r="J51" i="5"/>
  <c r="AF4" i="5" s="1"/>
  <c r="V35" i="5"/>
  <c r="AB8" i="5" s="1"/>
  <c r="E88" i="5"/>
  <c r="D88" i="5" s="1"/>
  <c r="E87" i="5"/>
  <c r="E86" i="5" s="1"/>
  <c r="E89" i="5"/>
  <c r="D89" i="5" s="1"/>
  <c r="D87" i="5"/>
  <c r="D86" i="5"/>
  <c r="W1" i="5"/>
  <c r="T1" i="5"/>
  <c r="M86" i="5"/>
  <c r="S7" i="5"/>
  <c r="T7" i="5" s="1"/>
  <c r="S13" i="5"/>
  <c r="T13" i="5" s="1"/>
  <c r="V8" i="5"/>
  <c r="W8" i="5" s="1"/>
  <c r="S3" i="5"/>
  <c r="T3" i="5" s="1"/>
  <c r="S12" i="5" l="1"/>
  <c r="T12" i="5" s="1"/>
  <c r="O12" i="5" s="1"/>
  <c r="S4" i="5"/>
  <c r="T4" i="5" s="1"/>
  <c r="S5" i="5"/>
  <c r="T5" i="5" s="1"/>
  <c r="V12" i="5"/>
  <c r="W12" i="5" s="1"/>
  <c r="V4" i="5"/>
  <c r="W4" i="5" s="1"/>
  <c r="D67" i="5" s="1"/>
  <c r="S2" i="5"/>
  <c r="T2" i="5" s="1"/>
  <c r="V9" i="5"/>
  <c r="W9" i="5" s="1"/>
  <c r="O2" i="5"/>
  <c r="D65" i="5"/>
  <c r="E64" i="5" s="1"/>
  <c r="D17" i="5" s="1"/>
  <c r="F17" i="5" s="1"/>
  <c r="O8" i="5"/>
  <c r="S8" i="5"/>
  <c r="T8" i="5" s="1"/>
  <c r="D71" i="5" s="1"/>
  <c r="S6" i="5"/>
  <c r="T6" i="5" s="1"/>
  <c r="D69" i="5"/>
  <c r="V7" i="5"/>
  <c r="W7" i="5" s="1"/>
  <c r="O7" i="5" s="1"/>
  <c r="V13" i="5"/>
  <c r="W13" i="5" s="1"/>
  <c r="V11" i="5"/>
  <c r="W11" i="5" s="1"/>
  <c r="O11" i="5" s="1"/>
  <c r="S10" i="5"/>
  <c r="T10" i="5" s="1"/>
  <c r="D68" i="5"/>
  <c r="O5" i="5"/>
  <c r="O3" i="5"/>
  <c r="D66" i="5"/>
  <c r="O6" i="5"/>
  <c r="O4" i="5"/>
  <c r="D72" i="5"/>
  <c r="O9" i="5"/>
  <c r="D76" i="5"/>
  <c r="O13" i="5"/>
  <c r="D75" i="5" l="1"/>
  <c r="D74" i="5"/>
  <c r="D70" i="5"/>
  <c r="O10" i="5"/>
  <c r="D73" i="5"/>
</calcChain>
</file>

<file path=xl/sharedStrings.xml><?xml version="1.0" encoding="utf-8"?>
<sst xmlns="http://schemas.openxmlformats.org/spreadsheetml/2006/main" count="1527" uniqueCount="100">
  <si>
    <t>MPID</t>
  </si>
  <si>
    <t>Trader</t>
  </si>
  <si>
    <t>DC</t>
  </si>
  <si>
    <t>Amount</t>
  </si>
  <si>
    <t>Tr Price</t>
  </si>
  <si>
    <t>P. Type</t>
  </si>
  <si>
    <t>Time</t>
  </si>
  <si>
    <t>Principal</t>
  </si>
  <si>
    <t>Interest</t>
  </si>
  <si>
    <t>Yield</t>
  </si>
  <si>
    <t>Piece</t>
  </si>
  <si>
    <t>BUY</t>
  </si>
  <si>
    <t>SELL</t>
  </si>
  <si>
    <t>???</t>
  </si>
  <si>
    <t xml:space="preserve">Trade #: </t>
  </si>
  <si>
    <t>Issuer</t>
  </si>
  <si>
    <t>Maturity</t>
  </si>
  <si>
    <t>CUSIP</t>
  </si>
  <si>
    <t>Settle</t>
  </si>
  <si>
    <t>Station</t>
  </si>
  <si>
    <t>FBEM</t>
  </si>
  <si>
    <t>MUNI</t>
  </si>
  <si>
    <t>MAIN</t>
  </si>
  <si>
    <t>FBEU</t>
  </si>
  <si>
    <t>FBCA</t>
  </si>
  <si>
    <t>B</t>
  </si>
  <si>
    <t xml:space="preserve"> </t>
  </si>
  <si>
    <t>A</t>
  </si>
  <si>
    <t>Trade</t>
  </si>
  <si>
    <t>D</t>
  </si>
  <si>
    <t>I</t>
  </si>
  <si>
    <t>M</t>
  </si>
  <si>
    <t>P</t>
  </si>
  <si>
    <t>N</t>
  </si>
  <si>
    <t>C</t>
  </si>
  <si>
    <t>Split Comm</t>
  </si>
  <si>
    <t>Commission</t>
  </si>
  <si>
    <t>Trade Date:</t>
  </si>
  <si>
    <t>ISIN:</t>
  </si>
  <si>
    <t xml:space="preserve"> Side</t>
  </si>
  <si>
    <t>Decimal2</t>
  </si>
  <si>
    <t>(new trade)</t>
  </si>
  <si>
    <t>BO CO…</t>
  </si>
  <si>
    <t>Quantiny In Jets</t>
  </si>
  <si>
    <t>Price In Jets</t>
  </si>
  <si>
    <t>Quantity</t>
  </si>
  <si>
    <t>Price</t>
  </si>
  <si>
    <t>Principal Buys</t>
  </si>
  <si>
    <t>Principal Sells</t>
  </si>
  <si>
    <t>B/S</t>
  </si>
  <si>
    <t>E</t>
  </si>
  <si>
    <t>F</t>
  </si>
  <si>
    <t>G</t>
  </si>
  <si>
    <t>L</t>
  </si>
  <si>
    <t>BUYS</t>
  </si>
  <si>
    <t>SELLS</t>
  </si>
  <si>
    <t>Quantity Buys</t>
  </si>
  <si>
    <t>Quantity Sells</t>
  </si>
  <si>
    <t>DESK</t>
  </si>
  <si>
    <t>QUAN</t>
  </si>
  <si>
    <t>PRIN</t>
  </si>
  <si>
    <t>Total</t>
  </si>
  <si>
    <t>SELLS COMM</t>
  </si>
  <si>
    <t>TOTAL COMM</t>
  </si>
  <si>
    <t>Avg</t>
  </si>
  <si>
    <t xml:space="preserve">QUAN </t>
  </si>
  <si>
    <t>Total Comm</t>
  </si>
  <si>
    <t>Error Check</t>
  </si>
  <si>
    <t>Quantity Buy</t>
  </si>
  <si>
    <t>Quantity Sell</t>
  </si>
  <si>
    <t>Totals</t>
  </si>
  <si>
    <t>BUYS COMM</t>
  </si>
  <si>
    <t>32NDS</t>
  </si>
  <si>
    <t>Trade Number</t>
  </si>
  <si>
    <t>Issue:</t>
  </si>
  <si>
    <t>Cusip:</t>
  </si>
  <si>
    <t>Trade Date</t>
  </si>
  <si>
    <t>Commission:</t>
  </si>
  <si>
    <t>Settlement Date:</t>
  </si>
  <si>
    <t>Spread</t>
  </si>
  <si>
    <t>+/-</t>
  </si>
  <si>
    <t>Coupon</t>
  </si>
  <si>
    <t>BOFA</t>
  </si>
  <si>
    <t>+</t>
  </si>
  <si>
    <t>JPMS</t>
  </si>
  <si>
    <t>DTC</t>
  </si>
  <si>
    <t>EuroClear</t>
  </si>
  <si>
    <t>AJ</t>
  </si>
  <si>
    <t>CJ</t>
  </si>
  <si>
    <t>5000M</t>
  </si>
  <si>
    <t>AM</t>
  </si>
  <si>
    <t>AN</t>
  </si>
  <si>
    <t>BAC</t>
  </si>
  <si>
    <t>060516NP0</t>
  </si>
  <si>
    <t>Total Commission:</t>
  </si>
  <si>
    <t>Total Commision</t>
  </si>
  <si>
    <t>Desk</t>
  </si>
  <si>
    <t>Side</t>
  </si>
  <si>
    <t>Dealer</t>
  </si>
  <si>
    <t>Broker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</si>
</sst>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0"/>
    <numFmt numFmtId="165" formatCode="&quot;$&quot;#,##0.00"/>
    <numFmt numFmtId="166" formatCode="000000"/>
    <numFmt numFmtId="167" formatCode="0.000000"/>
    <numFmt numFmtId="168" formatCode=".00"/>
    <numFmt numFmtId="169" formatCode="0.0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Lao UI"/>
      <family val="2"/>
    </font>
    <font>
      <sz val="8"/>
      <color theme="1"/>
      <name val="Yu Mincho"/>
      <family val="1"/>
    </font>
    <font>
      <b/>
      <sz val="10"/>
      <color theme="1"/>
      <name val="Arial"/>
      <family val="2"/>
    </font>
    <font>
      <sz val="11"/>
      <color rgb="FF003366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73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 tint="0.3499862666707357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theme="1" tint="0.34998626667073579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medium">
        <color theme="0" tint="-0.14999847407452621"/>
      </right>
      <top/>
      <bottom style="thin">
        <color theme="4" tint="0.39997558519241921"/>
      </bottom>
      <diagonal/>
    </border>
    <border>
      <left style="medium">
        <color theme="0" tint="-0.149998474074526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0" tint="-0.149998474074526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0" tint="-0.14999847407452621"/>
      </left>
      <right/>
      <top style="thin">
        <color theme="4" tint="0.399975585192419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 style="thin">
        <color theme="2" tint="-0.249977111117893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325">
    <xf numFmtId="0" fontId="0" fillId="0" borderId="0" xfId="0"/>
    <xf numFmtId="0" fontId="5" fillId="2" borderId="0" xfId="0" applyFont="1" applyFill="1" applyBorder="1" applyProtection="1"/>
    <xf numFmtId="0" fontId="0" fillId="2" borderId="0" xfId="0" applyFill="1" applyProtection="1"/>
    <xf numFmtId="0" fontId="4" fillId="2" borderId="0" xfId="0" applyFont="1" applyFill="1" applyProtection="1"/>
    <xf numFmtId="0" fontId="5" fillId="2" borderId="0" xfId="0" applyFont="1" applyFill="1" applyProtection="1"/>
    <xf numFmtId="0" fontId="0" fillId="2" borderId="0" xfId="0" applyFont="1" applyFill="1" applyBorder="1" applyProtection="1">
      <protection locked="0"/>
    </xf>
    <xf numFmtId="0" fontId="4" fillId="2" borderId="0" xfId="0" applyFont="1" applyFill="1" applyBorder="1" applyProtection="1"/>
    <xf numFmtId="0" fontId="0" fillId="2" borderId="0" xfId="0" applyFill="1"/>
    <xf numFmtId="0" fontId="0" fillId="3" borderId="0" xfId="0" applyFill="1"/>
    <xf numFmtId="0" fontId="0" fillId="3" borderId="0" xfId="0" applyFill="1" applyBorder="1" applyProtection="1"/>
    <xf numFmtId="0" fontId="0" fillId="3" borderId="0" xfId="0" applyFill="1" applyAlignment="1">
      <alignment horizontal="center"/>
    </xf>
    <xf numFmtId="0" fontId="5" fillId="2" borderId="0" xfId="0" applyNumberFormat="1" applyFont="1" applyFill="1" applyBorder="1" applyProtection="1">
      <protection locked="0"/>
    </xf>
    <xf numFmtId="1" fontId="5" fillId="2" borderId="0" xfId="0" applyNumberFormat="1" applyFont="1" applyFill="1" applyBorder="1" applyAlignment="1" applyProtection="1">
      <alignment horizontal="right"/>
    </xf>
    <xf numFmtId="169" fontId="5" fillId="2" borderId="0" xfId="0" applyNumberFormat="1" applyFont="1" applyFill="1" applyBorder="1" applyProtection="1"/>
    <xf numFmtId="2" fontId="5" fillId="2" borderId="0" xfId="0" applyNumberFormat="1" applyFont="1" applyFill="1" applyBorder="1" applyProtection="1"/>
    <xf numFmtId="168" fontId="5" fillId="2" borderId="0" xfId="0" applyNumberFormat="1" applyFont="1" applyFill="1" applyBorder="1" applyAlignment="1" applyProtection="1">
      <alignment horizontal="left"/>
      <protection locked="0"/>
    </xf>
    <xf numFmtId="167" fontId="5" fillId="2" borderId="0" xfId="0" applyNumberFormat="1" applyFont="1" applyFill="1" applyBorder="1" applyProtection="1"/>
    <xf numFmtId="0" fontId="5" fillId="2" borderId="0" xfId="0" applyFont="1" applyFill="1" applyBorder="1" applyAlignment="1" applyProtection="1">
      <alignment horizontal="right"/>
    </xf>
    <xf numFmtId="0" fontId="0" fillId="3" borderId="2" xfId="0" applyFill="1" applyBorder="1" applyAlignment="1">
      <alignment horizontal="center" wrapText="1"/>
    </xf>
    <xf numFmtId="0" fontId="0" fillId="3" borderId="2" xfId="0" applyFill="1" applyBorder="1" applyAlignment="1"/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1" fontId="0" fillId="3" borderId="0" xfId="0" applyNumberFormat="1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 vertical="center"/>
    </xf>
    <xf numFmtId="0" fontId="0" fillId="3" borderId="0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5" xfId="0" applyFill="1" applyBorder="1" applyAlignment="1" applyProtection="1">
      <alignment horizontal="left"/>
    </xf>
    <xf numFmtId="0" fontId="0" fillId="3" borderId="6" xfId="0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</xf>
    <xf numFmtId="0" fontId="0" fillId="3" borderId="0" xfId="0" applyFill="1" applyBorder="1" applyAlignment="1">
      <alignment horizontal="left"/>
    </xf>
    <xf numFmtId="0" fontId="0" fillId="3" borderId="4" xfId="0" applyFill="1" applyBorder="1" applyAlignment="1" applyProtection="1">
      <alignment horizontal="left"/>
    </xf>
    <xf numFmtId="0" fontId="0" fillId="3" borderId="3" xfId="0" applyFill="1" applyBorder="1" applyAlignment="1" applyProtection="1">
      <alignment horizontal="left"/>
    </xf>
    <xf numFmtId="0" fontId="0" fillId="3" borderId="7" xfId="0" applyFill="1" applyBorder="1" applyAlignment="1" applyProtection="1">
      <alignment horizontal="left"/>
    </xf>
    <xf numFmtId="0" fontId="0" fillId="3" borderId="4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7" fillId="3" borderId="0" xfId="0" applyFont="1" applyFill="1"/>
    <xf numFmtId="0" fontId="3" fillId="3" borderId="0" xfId="0" applyFont="1" applyFill="1"/>
    <xf numFmtId="167" fontId="0" fillId="3" borderId="0" xfId="0" applyNumberFormat="1" applyFill="1" applyBorder="1" applyAlignment="1">
      <alignment horizontal="center" vertical="center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2" xfId="0" applyFill="1" applyBorder="1" applyAlignment="1" applyProtection="1">
      <alignment horizontal="left"/>
    </xf>
    <xf numFmtId="0" fontId="0" fillId="3" borderId="18" xfId="0" applyFill="1" applyBorder="1"/>
    <xf numFmtId="0" fontId="0" fillId="3" borderId="0" xfId="0" applyFill="1" applyBorder="1" applyAlignment="1"/>
    <xf numFmtId="0" fontId="0" fillId="3" borderId="19" xfId="0" applyFill="1" applyBorder="1" applyAlignment="1" applyProtection="1">
      <alignment horizontal="left"/>
    </xf>
    <xf numFmtId="0" fontId="0" fillId="3" borderId="20" xfId="0" applyFill="1" applyBorder="1" applyAlignment="1" applyProtection="1">
      <alignment horizontal="left"/>
    </xf>
    <xf numFmtId="0" fontId="0" fillId="3" borderId="20" xfId="0" applyFill="1" applyBorder="1" applyAlignment="1">
      <alignment horizontal="left"/>
    </xf>
    <xf numFmtId="0" fontId="0" fillId="3" borderId="20" xfId="0" applyFill="1" applyBorder="1"/>
    <xf numFmtId="0" fontId="3" fillId="3" borderId="20" xfId="0" applyFont="1" applyFill="1" applyBorder="1"/>
    <xf numFmtId="0" fontId="0" fillId="3" borderId="21" xfId="0" applyFill="1" applyBorder="1" applyProtection="1"/>
    <xf numFmtId="0" fontId="3" fillId="3" borderId="0" xfId="0" applyFont="1" applyFill="1" applyBorder="1"/>
    <xf numFmtId="0" fontId="0" fillId="3" borderId="22" xfId="0" applyFill="1" applyBorder="1" applyAlignment="1" applyProtection="1">
      <alignment horizontal="left"/>
    </xf>
    <xf numFmtId="0" fontId="0" fillId="3" borderId="21" xfId="0" applyFill="1" applyBorder="1" applyAlignment="1" applyProtection="1">
      <alignment horizontal="left"/>
    </xf>
    <xf numFmtId="0" fontId="0" fillId="3" borderId="21" xfId="0" applyFill="1" applyBorder="1" applyAlignment="1">
      <alignment horizontal="left"/>
    </xf>
    <xf numFmtId="0" fontId="0" fillId="3" borderId="23" xfId="0" applyFill="1" applyBorder="1"/>
    <xf numFmtId="0" fontId="0" fillId="3" borderId="23" xfId="0" applyFill="1" applyBorder="1" applyAlignment="1">
      <alignment horizontal="left"/>
    </xf>
    <xf numFmtId="0" fontId="0" fillId="3" borderId="21" xfId="0" applyFill="1" applyBorder="1"/>
    <xf numFmtId="0" fontId="0" fillId="3" borderId="24" xfId="0" applyFill="1" applyBorder="1"/>
    <xf numFmtId="0" fontId="0" fillId="3" borderId="25" xfId="0" applyFill="1" applyBorder="1"/>
    <xf numFmtId="0" fontId="3" fillId="3" borderId="9" xfId="0" applyFont="1" applyFill="1" applyBorder="1"/>
    <xf numFmtId="0" fontId="3" fillId="3" borderId="12" xfId="0" applyFont="1" applyFill="1" applyBorder="1"/>
    <xf numFmtId="0" fontId="3" fillId="3" borderId="14" xfId="0" applyFont="1" applyFill="1" applyBorder="1"/>
    <xf numFmtId="0" fontId="0" fillId="3" borderId="1" xfId="0" applyFill="1" applyBorder="1" applyAlignment="1" applyProtection="1"/>
    <xf numFmtId="0" fontId="0" fillId="2" borderId="0" xfId="0" applyFill="1" applyBorder="1"/>
    <xf numFmtId="0" fontId="1" fillId="2" borderId="0" xfId="0" applyFont="1" applyFill="1" applyBorder="1" applyProtection="1"/>
    <xf numFmtId="0" fontId="2" fillId="2" borderId="0" xfId="0" applyFont="1" applyFill="1" applyBorder="1" applyAlignment="1" applyProtection="1">
      <alignment vertical="top"/>
    </xf>
    <xf numFmtId="0" fontId="0" fillId="2" borderId="0" xfId="0" applyFont="1" applyFill="1" applyBorder="1" applyProtection="1"/>
    <xf numFmtId="0" fontId="0" fillId="3" borderId="26" xfId="0" applyFont="1" applyFill="1" applyBorder="1" applyProtection="1"/>
    <xf numFmtId="0" fontId="0" fillId="3" borderId="26" xfId="0" applyNumberFormat="1" applyFont="1" applyFill="1" applyBorder="1" applyProtection="1">
      <protection locked="0"/>
    </xf>
    <xf numFmtId="0" fontId="0" fillId="3" borderId="26" xfId="0" applyFont="1" applyFill="1" applyBorder="1" applyProtection="1">
      <protection locked="0"/>
    </xf>
    <xf numFmtId="0" fontId="0" fillId="3" borderId="26" xfId="0" applyFont="1" applyFill="1" applyBorder="1" applyAlignment="1" applyProtection="1">
      <alignment horizontal="right"/>
      <protection locked="0"/>
    </xf>
    <xf numFmtId="164" fontId="0" fillId="3" borderId="26" xfId="0" applyNumberFormat="1" applyFont="1" applyFill="1" applyBorder="1" applyProtection="1">
      <protection locked="0"/>
    </xf>
    <xf numFmtId="166" fontId="0" fillId="3" borderId="26" xfId="0" applyNumberFormat="1" applyFont="1" applyFill="1" applyBorder="1" applyProtection="1">
      <protection locked="0"/>
    </xf>
    <xf numFmtId="168" fontId="0" fillId="3" borderId="26" xfId="0" applyNumberFormat="1" applyFont="1" applyFill="1" applyBorder="1" applyAlignment="1" applyProtection="1">
      <alignment horizontal="left"/>
      <protection locked="0"/>
    </xf>
    <xf numFmtId="167" fontId="0" fillId="3" borderId="26" xfId="0" applyNumberFormat="1" applyFont="1" applyFill="1" applyBorder="1" applyProtection="1"/>
    <xf numFmtId="1" fontId="0" fillId="3" borderId="26" xfId="0" applyNumberFormat="1" applyFont="1" applyFill="1" applyBorder="1" applyAlignment="1" applyProtection="1">
      <alignment horizontal="right"/>
      <protection locked="0"/>
    </xf>
    <xf numFmtId="166" fontId="5" fillId="2" borderId="0" xfId="0" applyNumberFormat="1" applyFont="1" applyFill="1" applyBorder="1" applyProtection="1"/>
    <xf numFmtId="0" fontId="0" fillId="2" borderId="0" xfId="0" applyFill="1" applyBorder="1" applyProtection="1"/>
    <xf numFmtId="0" fontId="0" fillId="3" borderId="0" xfId="0" applyFill="1" applyBorder="1" applyAlignment="1">
      <alignment horizontal="left"/>
    </xf>
    <xf numFmtId="1" fontId="0" fillId="3" borderId="0" xfId="0" applyNumberFormat="1" applyFill="1" applyBorder="1" applyProtection="1"/>
    <xf numFmtId="0" fontId="0" fillId="0" borderId="0" xfId="0" applyBorder="1"/>
    <xf numFmtId="14" fontId="0" fillId="3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4" fontId="0" fillId="3" borderId="0" xfId="0" applyNumberFormat="1" applyFill="1" applyBorder="1" applyProtection="1"/>
    <xf numFmtId="1" fontId="0" fillId="3" borderId="0" xfId="0" applyNumberFormat="1" applyFill="1" applyBorder="1" applyAlignment="1" applyProtection="1">
      <alignment horizontal="right"/>
    </xf>
    <xf numFmtId="1" fontId="0" fillId="3" borderId="0" xfId="0" applyNumberFormat="1" applyFill="1" applyBorder="1" applyAlignment="1" applyProtection="1">
      <alignment horizontal="center"/>
    </xf>
    <xf numFmtId="1" fontId="0" fillId="3" borderId="0" xfId="0" applyNumberFormat="1" applyFill="1" applyBorder="1" applyAlignment="1" applyProtection="1"/>
    <xf numFmtId="1" fontId="0" fillId="3" borderId="0" xfId="0" applyNumberFormat="1" applyFill="1" applyBorder="1" applyAlignment="1" applyProtection="1">
      <alignment horizontal="left"/>
    </xf>
    <xf numFmtId="0" fontId="0" fillId="3" borderId="20" xfId="0" applyFill="1" applyBorder="1" applyAlignment="1" applyProtection="1"/>
    <xf numFmtId="0" fontId="0" fillId="3" borderId="20" xfId="0" applyFill="1" applyBorder="1" applyAlignment="1" applyProtection="1">
      <alignment horizontal="right"/>
    </xf>
    <xf numFmtId="0" fontId="0" fillId="3" borderId="20" xfId="0" applyFill="1" applyBorder="1" applyProtection="1"/>
    <xf numFmtId="2" fontId="0" fillId="3" borderId="20" xfId="0" applyNumberFormat="1" applyFill="1" applyBorder="1" applyAlignment="1" applyProtection="1">
      <alignment horizontal="center"/>
    </xf>
    <xf numFmtId="14" fontId="0" fillId="3" borderId="20" xfId="0" applyNumberFormat="1" applyFill="1" applyBorder="1" applyAlignment="1" applyProtection="1">
      <alignment horizontal="center"/>
    </xf>
    <xf numFmtId="0" fontId="0" fillId="3" borderId="20" xfId="0" applyFill="1" applyBorder="1" applyAlignment="1" applyProtection="1">
      <alignment horizontal="center"/>
    </xf>
    <xf numFmtId="0" fontId="0" fillId="3" borderId="27" xfId="0" applyFill="1" applyBorder="1"/>
    <xf numFmtId="14" fontId="0" fillId="3" borderId="28" xfId="0" applyNumberFormat="1" applyFill="1" applyBorder="1" applyProtection="1"/>
    <xf numFmtId="0" fontId="0" fillId="3" borderId="21" xfId="0" applyFill="1" applyBorder="1" applyAlignment="1" applyProtection="1">
      <alignment horizontal="center"/>
    </xf>
    <xf numFmtId="1" fontId="0" fillId="3" borderId="28" xfId="0" applyNumberFormat="1" applyFill="1" applyBorder="1" applyProtection="1"/>
    <xf numFmtId="1" fontId="0" fillId="3" borderId="21" xfId="0" applyNumberFormat="1" applyFill="1" applyBorder="1" applyAlignment="1" applyProtection="1">
      <alignment horizontal="left"/>
    </xf>
    <xf numFmtId="1" fontId="0" fillId="3" borderId="21" xfId="0" applyNumberFormat="1" applyFill="1" applyBorder="1" applyAlignment="1" applyProtection="1">
      <alignment horizontal="right"/>
    </xf>
    <xf numFmtId="0" fontId="0" fillId="3" borderId="24" xfId="0" applyFill="1" applyBorder="1" applyAlignment="1" applyProtection="1">
      <alignment horizontal="left"/>
    </xf>
    <xf numFmtId="0" fontId="0" fillId="3" borderId="25" xfId="0" applyFill="1" applyBorder="1" applyAlignment="1" applyProtection="1">
      <alignment horizontal="left"/>
    </xf>
    <xf numFmtId="1" fontId="0" fillId="3" borderId="25" xfId="0" applyNumberFormat="1" applyFill="1" applyBorder="1" applyAlignment="1" applyProtection="1">
      <alignment horizontal="right"/>
    </xf>
    <xf numFmtId="1" fontId="0" fillId="3" borderId="25" xfId="0" applyNumberFormat="1" applyFill="1" applyBorder="1" applyAlignment="1" applyProtection="1">
      <alignment horizontal="center"/>
    </xf>
    <xf numFmtId="1" fontId="0" fillId="3" borderId="25" xfId="0" applyNumberFormat="1" applyFill="1" applyBorder="1" applyProtection="1"/>
    <xf numFmtId="1" fontId="0" fillId="3" borderId="29" xfId="0" applyNumberFormat="1" applyFill="1" applyBorder="1" applyProtection="1"/>
    <xf numFmtId="14" fontId="0" fillId="3" borderId="29" xfId="0" applyNumberFormat="1" applyFill="1" applyBorder="1" applyProtection="1"/>
    <xf numFmtId="0" fontId="0" fillId="3" borderId="8" xfId="0" applyFill="1" applyBorder="1" applyAlignment="1" applyProtection="1">
      <alignment horizontal="left"/>
    </xf>
    <xf numFmtId="0" fontId="0" fillId="3" borderId="8" xfId="0" applyFill="1" applyBorder="1" applyAlignment="1" applyProtection="1"/>
    <xf numFmtId="0" fontId="0" fillId="3" borderId="8" xfId="0" applyFill="1" applyBorder="1" applyAlignment="1" applyProtection="1">
      <alignment horizontal="right"/>
    </xf>
    <xf numFmtId="0" fontId="0" fillId="3" borderId="8" xfId="0" applyFill="1" applyBorder="1" applyProtection="1"/>
    <xf numFmtId="2" fontId="0" fillId="3" borderId="8" xfId="0" applyNumberFormat="1" applyFill="1" applyBorder="1" applyAlignment="1" applyProtection="1">
      <alignment horizontal="center"/>
    </xf>
    <xf numFmtId="14" fontId="0" fillId="3" borderId="8" xfId="0" applyNumberFormat="1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0" fillId="3" borderId="33" xfId="0" applyFill="1" applyBorder="1"/>
    <xf numFmtId="1" fontId="0" fillId="3" borderId="13" xfId="0" applyNumberFormat="1" applyFill="1" applyBorder="1" applyAlignment="1" applyProtection="1">
      <alignment horizontal="right"/>
    </xf>
    <xf numFmtId="0" fontId="0" fillId="3" borderId="34" xfId="0" applyFill="1" applyBorder="1" applyAlignment="1" applyProtection="1">
      <alignment horizontal="left"/>
    </xf>
    <xf numFmtId="0" fontId="0" fillId="3" borderId="35" xfId="0" applyFill="1" applyBorder="1"/>
    <xf numFmtId="1" fontId="0" fillId="3" borderId="30" xfId="0" applyNumberFormat="1" applyFill="1" applyBorder="1" applyAlignment="1" applyProtection="1">
      <alignment horizontal="right"/>
    </xf>
    <xf numFmtId="0" fontId="0" fillId="3" borderId="19" xfId="0" applyFill="1" applyBorder="1" applyAlignment="1" applyProtection="1"/>
    <xf numFmtId="0" fontId="0" fillId="3" borderId="31" xfId="0" applyFill="1" applyBorder="1" applyAlignment="1" applyProtection="1"/>
    <xf numFmtId="0" fontId="0" fillId="3" borderId="25" xfId="0" applyFill="1" applyBorder="1" applyAlignment="1" applyProtection="1"/>
    <xf numFmtId="14" fontId="0" fillId="3" borderId="25" xfId="0" applyNumberFormat="1" applyFill="1" applyBorder="1" applyAlignment="1" applyProtection="1"/>
    <xf numFmtId="14" fontId="0" fillId="3" borderId="30" xfId="0" applyNumberFormat="1" applyFill="1" applyBorder="1" applyAlignment="1" applyProtection="1"/>
    <xf numFmtId="0" fontId="0" fillId="3" borderId="24" xfId="0" applyFill="1" applyBorder="1" applyAlignment="1" applyProtection="1"/>
    <xf numFmtId="0" fontId="0" fillId="3" borderId="36" xfId="0" applyFill="1" applyBorder="1" applyAlignment="1" applyProtection="1"/>
    <xf numFmtId="0" fontId="0" fillId="3" borderId="32" xfId="0" applyFill="1" applyBorder="1" applyAlignment="1" applyProtection="1"/>
    <xf numFmtId="1" fontId="0" fillId="3" borderId="13" xfId="0" applyNumberFormat="1" applyFill="1" applyBorder="1" applyAlignment="1" applyProtection="1"/>
    <xf numFmtId="1" fontId="0" fillId="3" borderId="0" xfId="0" applyNumberFormat="1" applyFill="1" applyBorder="1" applyAlignment="1" applyProtection="1">
      <alignment horizontal="center"/>
    </xf>
    <xf numFmtId="0" fontId="0" fillId="3" borderId="0" xfId="0" applyFill="1" applyBorder="1" applyAlignment="1">
      <alignment horizontal="left"/>
    </xf>
    <xf numFmtId="0" fontId="0" fillId="2" borderId="0" xfId="0" applyFill="1" applyBorder="1" applyAlignment="1" applyProtection="1"/>
    <xf numFmtId="0" fontId="0" fillId="3" borderId="0" xfId="0" applyFill="1" applyBorder="1" applyAlignment="1" applyProtection="1"/>
    <xf numFmtId="165" fontId="0" fillId="3" borderId="0" xfId="0" applyNumberFormat="1" applyFill="1" applyBorder="1" applyAlignment="1" applyProtection="1"/>
    <xf numFmtId="0" fontId="0" fillId="2" borderId="0" xfId="0" applyFill="1" applyBorder="1" applyAlignment="1" applyProtection="1">
      <alignment horizontal="right"/>
    </xf>
    <xf numFmtId="0" fontId="0" fillId="2" borderId="0" xfId="0" applyFill="1" applyBorder="1" applyAlignment="1" applyProtection="1">
      <protection locked="0"/>
    </xf>
    <xf numFmtId="14" fontId="0" fillId="2" borderId="0" xfId="0" applyNumberFormat="1" applyFont="1" applyFill="1" applyBorder="1" applyAlignment="1" applyProtection="1"/>
    <xf numFmtId="14" fontId="0" fillId="2" borderId="0" xfId="0" applyNumberFormat="1" applyFill="1" applyBorder="1" applyAlignment="1" applyProtection="1"/>
    <xf numFmtId="14" fontId="0" fillId="3" borderId="37" xfId="0" applyNumberFormat="1" applyFill="1" applyBorder="1" applyAlignment="1" applyProtection="1"/>
    <xf numFmtId="0" fontId="0" fillId="2" borderId="0" xfId="0" applyFont="1" applyFill="1" applyBorder="1" applyAlignment="1" applyProtection="1"/>
    <xf numFmtId="2" fontId="0" fillId="2" borderId="0" xfId="0" applyNumberFormat="1" applyFont="1" applyFill="1" applyBorder="1" applyAlignment="1" applyProtection="1"/>
    <xf numFmtId="0" fontId="0" fillId="2" borderId="0" xfId="0" applyFont="1" applyFill="1" applyBorder="1" applyAlignment="1" applyProtection="1">
      <protection locked="0"/>
    </xf>
    <xf numFmtId="0" fontId="0" fillId="3" borderId="37" xfId="0" applyFill="1" applyBorder="1" applyAlignment="1" applyProtection="1"/>
    <xf numFmtId="2" fontId="0" fillId="3" borderId="37" xfId="0" applyNumberFormat="1" applyFont="1" applyFill="1" applyBorder="1" applyAlignment="1" applyProtection="1"/>
    <xf numFmtId="0" fontId="0" fillId="2" borderId="37" xfId="0" applyFont="1" applyFill="1" applyBorder="1" applyAlignment="1" applyProtection="1">
      <protection locked="0"/>
    </xf>
    <xf numFmtId="0" fontId="0" fillId="3" borderId="37" xfId="0" applyFill="1" applyBorder="1" applyAlignment="1" applyProtection="1">
      <protection locked="0"/>
    </xf>
    <xf numFmtId="0" fontId="0" fillId="2" borderId="0" xfId="0" applyFill="1" applyBorder="1" applyAlignment="1" applyProtection="1">
      <alignment horizontal="center"/>
    </xf>
    <xf numFmtId="0" fontId="0" fillId="3" borderId="38" xfId="0" applyFill="1" applyBorder="1" applyAlignment="1" applyProtection="1"/>
    <xf numFmtId="0" fontId="0" fillId="3" borderId="39" xfId="0" applyNumberFormat="1" applyFont="1" applyFill="1" applyBorder="1" applyProtection="1">
      <protection locked="0"/>
    </xf>
    <xf numFmtId="0" fontId="0" fillId="3" borderId="39" xfId="0" applyFont="1" applyFill="1" applyBorder="1" applyProtection="1">
      <protection locked="0"/>
    </xf>
    <xf numFmtId="0" fontId="0" fillId="3" borderId="39" xfId="0" applyFont="1" applyFill="1" applyBorder="1" applyAlignment="1" applyProtection="1">
      <alignment horizontal="right"/>
      <protection locked="0"/>
    </xf>
    <xf numFmtId="0" fontId="0" fillId="3" borderId="39" xfId="0" applyFont="1" applyFill="1" applyBorder="1" applyProtection="1"/>
    <xf numFmtId="2" fontId="0" fillId="3" borderId="39" xfId="0" applyNumberFormat="1" applyFont="1" applyFill="1" applyBorder="1" applyProtection="1"/>
    <xf numFmtId="167" fontId="0" fillId="3" borderId="39" xfId="0" applyNumberFormat="1" applyFont="1" applyFill="1" applyBorder="1" applyProtection="1"/>
    <xf numFmtId="168" fontId="0" fillId="3" borderId="39" xfId="0" applyNumberFormat="1" applyFont="1" applyFill="1" applyBorder="1" applyAlignment="1" applyProtection="1">
      <alignment horizontal="left"/>
      <protection locked="0"/>
    </xf>
    <xf numFmtId="0" fontId="0" fillId="4" borderId="40" xfId="0" applyFill="1" applyBorder="1" applyAlignment="1" applyProtection="1">
      <alignment horizontal="left"/>
    </xf>
    <xf numFmtId="0" fontId="0" fillId="4" borderId="41" xfId="0" applyFill="1" applyBorder="1" applyProtection="1"/>
    <xf numFmtId="0" fontId="0" fillId="4" borderId="42" xfId="0" applyFill="1" applyBorder="1" applyAlignment="1" applyProtection="1">
      <alignment horizontal="center"/>
    </xf>
    <xf numFmtId="0" fontId="0" fillId="4" borderId="43" xfId="0" applyFill="1" applyBorder="1" applyAlignment="1" applyProtection="1">
      <alignment horizontal="center"/>
    </xf>
    <xf numFmtId="0" fontId="0" fillId="4" borderId="43" xfId="0" applyFill="1" applyBorder="1" applyProtection="1"/>
    <xf numFmtId="0" fontId="0" fillId="4" borderId="43" xfId="0" quotePrefix="1" applyFill="1" applyBorder="1" applyAlignment="1" applyProtection="1">
      <alignment horizontal="center"/>
    </xf>
    <xf numFmtId="0" fontId="0" fillId="4" borderId="44" xfId="0" applyFill="1" applyBorder="1" applyProtection="1"/>
    <xf numFmtId="14" fontId="0" fillId="3" borderId="37" xfId="0" applyNumberFormat="1" applyFill="1" applyBorder="1" applyAlignment="1" applyProtection="1">
      <alignment horizontal="center"/>
    </xf>
    <xf numFmtId="14" fontId="0" fillId="3" borderId="37" xfId="0" applyNumberFormat="1" applyFont="1" applyFill="1" applyBorder="1" applyAlignment="1" applyProtection="1">
      <alignment horizontal="center"/>
    </xf>
    <xf numFmtId="1" fontId="0" fillId="3" borderId="39" xfId="0" applyNumberFormat="1" applyFont="1" applyFill="1" applyBorder="1" applyProtection="1">
      <protection locked="0"/>
    </xf>
    <xf numFmtId="1" fontId="0" fillId="3" borderId="26" xfId="0" applyNumberFormat="1" applyFont="1" applyFill="1" applyBorder="1" applyProtection="1">
      <protection locked="0"/>
    </xf>
    <xf numFmtId="1" fontId="5" fillId="2" borderId="0" xfId="0" applyNumberFormat="1" applyFont="1" applyFill="1" applyBorder="1" applyProtection="1"/>
    <xf numFmtId="164" fontId="0" fillId="3" borderId="39" xfId="0" quotePrefix="1" applyNumberFormat="1" applyFont="1" applyFill="1" applyBorder="1" applyProtection="1">
      <protection locked="0"/>
    </xf>
    <xf numFmtId="164" fontId="0" fillId="3" borderId="26" xfId="0" quotePrefix="1" applyNumberFormat="1" applyFont="1" applyFill="1" applyBorder="1" applyProtection="1">
      <protection locked="0"/>
    </xf>
    <xf numFmtId="0" fontId="0" fillId="2" borderId="54" xfId="0" applyFill="1" applyBorder="1" applyProtection="1"/>
    <xf numFmtId="0" fontId="0" fillId="2" borderId="55" xfId="0" applyFill="1" applyBorder="1" applyProtection="1"/>
    <xf numFmtId="0" fontId="0" fillId="2" borderId="56" xfId="0" applyFill="1" applyBorder="1" applyProtection="1"/>
    <xf numFmtId="0" fontId="0" fillId="2" borderId="57" xfId="0" applyFill="1" applyBorder="1" applyProtection="1"/>
    <xf numFmtId="0" fontId="4" fillId="2" borderId="57" xfId="0" applyFont="1" applyFill="1" applyBorder="1" applyProtection="1"/>
    <xf numFmtId="0" fontId="0" fillId="2" borderId="58" xfId="0" applyFill="1" applyBorder="1" applyProtection="1"/>
    <xf numFmtId="0" fontId="0" fillId="2" borderId="59" xfId="0" applyFill="1" applyBorder="1" applyProtection="1"/>
    <xf numFmtId="0" fontId="0" fillId="2" borderId="60" xfId="0" applyFill="1" applyBorder="1" applyProtection="1"/>
    <xf numFmtId="0" fontId="0" fillId="2" borderId="53" xfId="0" applyFill="1" applyBorder="1" applyProtection="1"/>
    <xf numFmtId="0" fontId="0" fillId="3" borderId="61" xfId="0" applyFill="1" applyBorder="1" applyAlignment="1" applyProtection="1">
      <alignment horizontal="center"/>
    </xf>
    <xf numFmtId="165" fontId="0" fillId="3" borderId="62" xfId="0" applyNumberFormat="1" applyFill="1" applyBorder="1" applyAlignment="1" applyProtection="1"/>
    <xf numFmtId="0" fontId="0" fillId="3" borderId="63" xfId="0" applyFill="1" applyBorder="1" applyAlignment="1" applyProtection="1">
      <alignment horizontal="center"/>
    </xf>
    <xf numFmtId="165" fontId="0" fillId="3" borderId="64" xfId="0" applyNumberFormat="1" applyFill="1" applyBorder="1" applyAlignment="1" applyProtection="1"/>
    <xf numFmtId="0" fontId="0" fillId="2" borderId="65" xfId="0" applyFill="1" applyBorder="1" applyProtection="1"/>
    <xf numFmtId="0" fontId="0" fillId="2" borderId="66" xfId="0" applyFill="1" applyBorder="1" applyAlignment="1" applyProtection="1">
      <alignment horizontal="center"/>
    </xf>
    <xf numFmtId="0" fontId="0" fillId="2" borderId="0" xfId="0" applyFont="1" applyFill="1" applyProtection="1"/>
    <xf numFmtId="0" fontId="9" fillId="2" borderId="0" xfId="0" applyFont="1" applyFill="1" applyBorder="1" applyAlignment="1" applyProtection="1">
      <alignment horizontal="left" vertical="top"/>
    </xf>
    <xf numFmtId="0" fontId="1" fillId="2" borderId="0" xfId="0" applyFont="1" applyFill="1" applyProtection="1"/>
    <xf numFmtId="0" fontId="0" fillId="2" borderId="37" xfId="0" applyFont="1" applyFill="1" applyBorder="1" applyAlignment="1" applyProtection="1">
      <alignment vertical="center"/>
    </xf>
    <xf numFmtId="165" fontId="0" fillId="2" borderId="0" xfId="0" applyNumberFormat="1" applyFill="1" applyBorder="1" applyAlignment="1" applyProtection="1"/>
    <xf numFmtId="14" fontId="0" fillId="2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right"/>
    </xf>
    <xf numFmtId="4" fontId="0" fillId="3" borderId="0" xfId="0" applyNumberFormat="1" applyFill="1" applyBorder="1"/>
    <xf numFmtId="0" fontId="0" fillId="3" borderId="0" xfId="0" applyFill="1" applyBorder="1" applyAlignment="1">
      <alignment horizontal="right"/>
    </xf>
    <xf numFmtId="165" fontId="0" fillId="3" borderId="0" xfId="0" applyNumberFormat="1" applyFill="1" applyBorder="1" applyAlignment="1" applyProtection="1">
      <alignment horizontal="right"/>
    </xf>
    <xf numFmtId="0" fontId="0" fillId="3" borderId="46" xfId="0" applyFill="1" applyBorder="1"/>
    <xf numFmtId="0" fontId="0" fillId="3" borderId="47" xfId="0" applyFill="1" applyBorder="1"/>
    <xf numFmtId="0" fontId="0" fillId="3" borderId="49" xfId="0" applyFill="1" applyBorder="1"/>
    <xf numFmtId="14" fontId="0" fillId="3" borderId="49" xfId="0" applyNumberFormat="1" applyFill="1" applyBorder="1" applyProtection="1"/>
    <xf numFmtId="0" fontId="0" fillId="3" borderId="48" xfId="0" applyFill="1" applyBorder="1"/>
    <xf numFmtId="0" fontId="0" fillId="3" borderId="50" xfId="0" applyFill="1" applyBorder="1"/>
    <xf numFmtId="0" fontId="0" fillId="3" borderId="69" xfId="0" applyFill="1" applyBorder="1" applyProtection="1"/>
    <xf numFmtId="0" fontId="0" fillId="3" borderId="69" xfId="0" applyFill="1" applyBorder="1" applyAlignment="1" applyProtection="1">
      <alignment horizontal="center"/>
    </xf>
    <xf numFmtId="0" fontId="0" fillId="3" borderId="70" xfId="0" applyFill="1" applyBorder="1" applyAlignment="1" applyProtection="1"/>
    <xf numFmtId="0" fontId="0" fillId="3" borderId="71" xfId="0" applyFill="1" applyBorder="1" applyAlignment="1" applyProtection="1"/>
    <xf numFmtId="0" fontId="0" fillId="3" borderId="71" xfId="0" applyFill="1" applyBorder="1" applyAlignment="1" applyProtection="1">
      <alignment horizontal="right"/>
    </xf>
    <xf numFmtId="2" fontId="0" fillId="3" borderId="71" xfId="0" applyNumberFormat="1" applyFill="1" applyBorder="1" applyAlignment="1" applyProtection="1">
      <alignment horizontal="center"/>
    </xf>
    <xf numFmtId="14" fontId="0" fillId="3" borderId="71" xfId="0" applyNumberFormat="1" applyFill="1" applyBorder="1" applyAlignment="1" applyProtection="1">
      <alignment horizontal="left"/>
    </xf>
    <xf numFmtId="0" fontId="0" fillId="3" borderId="71" xfId="0" applyFill="1" applyBorder="1" applyAlignment="1" applyProtection="1">
      <alignment horizontal="center"/>
    </xf>
    <xf numFmtId="0" fontId="0" fillId="3" borderId="72" xfId="0" applyFill="1" applyBorder="1" applyAlignment="1" applyProtection="1"/>
    <xf numFmtId="0" fontId="0" fillId="3" borderId="48" xfId="0" applyFill="1" applyBorder="1" applyAlignment="1" applyProtection="1">
      <alignment horizontal="left"/>
    </xf>
    <xf numFmtId="2" fontId="0" fillId="3" borderId="0" xfId="0" applyNumberFormat="1" applyFill="1" applyBorder="1" applyAlignment="1" applyProtection="1">
      <alignment horizontal="center"/>
    </xf>
    <xf numFmtId="14" fontId="0" fillId="3" borderId="71" xfId="0" applyNumberFormat="1" applyFill="1" applyBorder="1" applyAlignment="1" applyProtection="1"/>
    <xf numFmtId="14" fontId="0" fillId="3" borderId="72" xfId="0" applyNumberFormat="1" applyFill="1" applyBorder="1" applyProtection="1"/>
    <xf numFmtId="165" fontId="1" fillId="3" borderId="72" xfId="0" applyNumberFormat="1" applyFont="1" applyFill="1" applyBorder="1"/>
    <xf numFmtId="0" fontId="0" fillId="3" borderId="49" xfId="0" applyFill="1" applyBorder="1" applyAlignment="1">
      <alignment horizontal="right"/>
    </xf>
    <xf numFmtId="0" fontId="0" fillId="3" borderId="51" xfId="0" applyFill="1" applyBorder="1"/>
    <xf numFmtId="0" fontId="0" fillId="3" borderId="51" xfId="0" applyFill="1" applyBorder="1" applyAlignment="1">
      <alignment horizontal="right"/>
    </xf>
    <xf numFmtId="0" fontId="0" fillId="3" borderId="51" xfId="0" applyFill="1" applyBorder="1" applyAlignment="1">
      <alignment horizontal="left"/>
    </xf>
    <xf numFmtId="4" fontId="0" fillId="3" borderId="51" xfId="0" applyNumberFormat="1" applyFill="1" applyBorder="1"/>
    <xf numFmtId="0" fontId="0" fillId="3" borderId="52" xfId="0" applyFill="1" applyBorder="1" applyAlignment="1">
      <alignment horizontal="right"/>
    </xf>
    <xf numFmtId="0" fontId="10" fillId="3" borderId="71" xfId="0" applyFont="1" applyFill="1" applyBorder="1" applyAlignment="1" applyProtection="1">
      <alignment horizontal="center" vertical="center"/>
    </xf>
    <xf numFmtId="0" fontId="10" fillId="3" borderId="71" xfId="0" applyFont="1" applyFill="1" applyBorder="1" applyAlignment="1" applyProtection="1">
      <alignment horizontal="left" vertical="center"/>
    </xf>
    <xf numFmtId="165" fontId="10" fillId="3" borderId="72" xfId="0" applyNumberFormat="1" applyFont="1" applyFill="1" applyBorder="1" applyAlignment="1" applyProtection="1">
      <alignment horizontal="right" vertical="center"/>
    </xf>
    <xf numFmtId="0" fontId="10" fillId="3" borderId="71" xfId="0" applyFont="1" applyFill="1" applyBorder="1" applyAlignment="1" applyProtection="1">
      <alignment horizontal="right" vertical="center"/>
    </xf>
    <xf numFmtId="14" fontId="10" fillId="3" borderId="71" xfId="0" applyNumberFormat="1" applyFont="1" applyFill="1" applyBorder="1" applyAlignment="1" applyProtection="1">
      <alignment horizontal="left" vertical="center"/>
    </xf>
    <xf numFmtId="0" fontId="0" fillId="3" borderId="72" xfId="0" applyFill="1" applyBorder="1" applyAlignment="1" applyProtection="1">
      <alignment horizontal="left"/>
    </xf>
    <xf numFmtId="0" fontId="0" fillId="3" borderId="70" xfId="0" applyFill="1" applyBorder="1" applyAlignment="1" applyProtection="1">
      <alignment horizontal="right"/>
    </xf>
    <xf numFmtId="0" fontId="11" fillId="3" borderId="70" xfId="0" applyFont="1" applyFill="1" applyBorder="1" applyAlignment="1" applyProtection="1">
      <alignment horizontal="center" vertical="center"/>
    </xf>
    <xf numFmtId="0" fontId="11" fillId="3" borderId="71" xfId="0" applyFont="1" applyFill="1" applyBorder="1" applyAlignment="1" applyProtection="1">
      <alignment horizontal="left" vertical="center"/>
    </xf>
    <xf numFmtId="14" fontId="11" fillId="3" borderId="71" xfId="0" applyNumberFormat="1" applyFont="1" applyFill="1" applyBorder="1" applyAlignment="1" applyProtection="1">
      <alignment horizontal="left" vertical="center"/>
    </xf>
    <xf numFmtId="0" fontId="11" fillId="3" borderId="71" xfId="0" applyFont="1" applyFill="1" applyBorder="1" applyAlignment="1" applyProtection="1">
      <alignment horizontal="center" vertical="center"/>
    </xf>
    <xf numFmtId="0" fontId="11" fillId="3" borderId="71" xfId="0" applyFont="1" applyFill="1" applyBorder="1" applyAlignment="1" applyProtection="1">
      <alignment vertical="center"/>
    </xf>
    <xf numFmtId="0" fontId="11" fillId="3" borderId="71" xfId="0" applyFont="1" applyFill="1" applyBorder="1" applyAlignment="1" applyProtection="1">
      <alignment horizontal="right" vertical="center"/>
    </xf>
    <xf numFmtId="165" fontId="11" fillId="3" borderId="72" xfId="0" applyNumberFormat="1" applyFont="1" applyFill="1" applyBorder="1" applyAlignment="1" applyProtection="1">
      <alignment horizontal="right" vertical="center"/>
    </xf>
    <xf numFmtId="0" fontId="12" fillId="3" borderId="0" xfId="0" applyFont="1" applyFill="1"/>
    <xf numFmtId="0" fontId="12" fillId="3" borderId="0" xfId="0" applyFont="1" applyFill="1" applyBorder="1"/>
    <xf numFmtId="0" fontId="12" fillId="3" borderId="48" xfId="0" applyFont="1" applyFill="1" applyBorder="1"/>
    <xf numFmtId="0" fontId="13" fillId="3" borderId="0" xfId="0" applyFont="1" applyFill="1"/>
    <xf numFmtId="165" fontId="14" fillId="3" borderId="72" xfId="0" applyNumberFormat="1" applyFont="1" applyFill="1" applyBorder="1" applyAlignment="1">
      <alignment horizontal="left"/>
    </xf>
    <xf numFmtId="0" fontId="11" fillId="3" borderId="46" xfId="0" applyFont="1" applyFill="1" applyBorder="1"/>
    <xf numFmtId="1" fontId="11" fillId="3" borderId="45" xfId="0" applyNumberFormat="1" applyFont="1" applyFill="1" applyBorder="1" applyAlignment="1" applyProtection="1">
      <alignment horizontal="right"/>
    </xf>
    <xf numFmtId="1" fontId="11" fillId="3" borderId="46" xfId="0" applyNumberFormat="1" applyFont="1" applyFill="1" applyBorder="1" applyAlignment="1" applyProtection="1">
      <alignment horizontal="left"/>
    </xf>
    <xf numFmtId="165" fontId="11" fillId="3" borderId="47" xfId="0" applyNumberFormat="1" applyFont="1" applyFill="1" applyBorder="1" applyAlignment="1" applyProtection="1">
      <alignment horizontal="left"/>
    </xf>
    <xf numFmtId="0" fontId="11" fillId="3" borderId="0" xfId="0" applyFont="1" applyFill="1" applyBorder="1"/>
    <xf numFmtId="0" fontId="11" fillId="3" borderId="49" xfId="0" applyFont="1" applyFill="1" applyBorder="1"/>
    <xf numFmtId="1" fontId="11" fillId="3" borderId="48" xfId="0" applyNumberFormat="1" applyFont="1" applyFill="1" applyBorder="1" applyAlignment="1" applyProtection="1">
      <alignment horizontal="right"/>
    </xf>
    <xf numFmtId="1" fontId="11" fillId="3" borderId="0" xfId="0" applyNumberFormat="1" applyFont="1" applyFill="1" applyBorder="1" applyAlignment="1" applyProtection="1"/>
    <xf numFmtId="165" fontId="11" fillId="3" borderId="49" xfId="0" applyNumberFormat="1" applyFont="1" applyFill="1" applyBorder="1" applyAlignment="1" applyProtection="1">
      <alignment horizontal="left"/>
    </xf>
    <xf numFmtId="0" fontId="11" fillId="0" borderId="50" xfId="0" applyFont="1" applyBorder="1"/>
    <xf numFmtId="0" fontId="11" fillId="3" borderId="51" xfId="0" applyFont="1" applyFill="1" applyBorder="1"/>
    <xf numFmtId="0" fontId="11" fillId="0" borderId="52" xfId="0" applyFont="1" applyBorder="1"/>
    <xf numFmtId="0" fontId="11" fillId="3" borderId="48" xfId="0" applyFont="1" applyFill="1" applyBorder="1"/>
    <xf numFmtId="0" fontId="11" fillId="3" borderId="70" xfId="0" applyFont="1" applyFill="1" applyBorder="1" applyAlignment="1" applyProtection="1">
      <alignment horizontal="right"/>
    </xf>
    <xf numFmtId="0" fontId="11" fillId="3" borderId="71" xfId="0" applyFont="1" applyFill="1" applyBorder="1" applyAlignment="1" applyProtection="1">
      <alignment horizontal="right"/>
    </xf>
    <xf numFmtId="2" fontId="11" fillId="3" borderId="71" xfId="0" applyNumberFormat="1" applyFont="1" applyFill="1" applyBorder="1" applyAlignment="1" applyProtection="1">
      <alignment horizontal="center"/>
    </xf>
    <xf numFmtId="14" fontId="11" fillId="3" borderId="71" xfId="0" applyNumberFormat="1" applyFont="1" applyFill="1" applyBorder="1" applyAlignment="1" applyProtection="1">
      <alignment horizontal="left"/>
    </xf>
    <xf numFmtId="0" fontId="11" fillId="3" borderId="71" xfId="0" applyFont="1" applyFill="1" applyBorder="1" applyAlignment="1" applyProtection="1">
      <alignment horizontal="center"/>
    </xf>
    <xf numFmtId="0" fontId="11" fillId="3" borderId="71" xfId="0" applyFont="1" applyFill="1" applyBorder="1" applyAlignment="1" applyProtection="1"/>
    <xf numFmtId="0" fontId="11" fillId="3" borderId="47" xfId="0" applyFont="1" applyFill="1" applyBorder="1" applyAlignment="1" applyProtection="1"/>
    <xf numFmtId="0" fontId="11" fillId="3" borderId="0" xfId="0" applyFont="1" applyFill="1" applyBorder="1" applyAlignment="1" applyProtection="1">
      <alignment horizontal="left"/>
    </xf>
    <xf numFmtId="0" fontId="11" fillId="3" borderId="0" xfId="0" applyFont="1" applyFill="1" applyBorder="1" applyAlignment="1" applyProtection="1"/>
    <xf numFmtId="14" fontId="11" fillId="3" borderId="71" xfId="0" applyNumberFormat="1" applyFont="1" applyFill="1" applyBorder="1" applyAlignment="1" applyProtection="1">
      <alignment horizontal="right"/>
    </xf>
    <xf numFmtId="14" fontId="11" fillId="3" borderId="71" xfId="0" applyNumberFormat="1" applyFont="1" applyFill="1" applyBorder="1" applyAlignment="1" applyProtection="1"/>
    <xf numFmtId="14" fontId="11" fillId="3" borderId="72" xfId="0" applyNumberFormat="1" applyFont="1" applyFill="1" applyBorder="1" applyAlignment="1" applyProtection="1"/>
    <xf numFmtId="0" fontId="11" fillId="3" borderId="70" xfId="0" applyFont="1" applyFill="1" applyBorder="1" applyAlignment="1" applyProtection="1"/>
    <xf numFmtId="0" fontId="11" fillId="3" borderId="72" xfId="0" applyFont="1" applyFill="1" applyBorder="1" applyAlignment="1" applyProtection="1">
      <alignment horizontal="left"/>
    </xf>
    <xf numFmtId="0" fontId="11" fillId="3" borderId="0" xfId="0" applyFont="1" applyFill="1" applyBorder="1" applyAlignment="1" applyProtection="1">
      <alignment horizontal="center"/>
    </xf>
    <xf numFmtId="0" fontId="11" fillId="3" borderId="0" xfId="0" applyFont="1" applyFill="1" applyBorder="1" applyProtection="1"/>
    <xf numFmtId="0" fontId="11" fillId="3" borderId="49" xfId="0" applyFont="1" applyFill="1" applyBorder="1" applyAlignment="1" applyProtection="1">
      <alignment horizontal="center"/>
    </xf>
    <xf numFmtId="0" fontId="11" fillId="3" borderId="45" xfId="0" applyFont="1" applyFill="1" applyBorder="1" applyAlignment="1">
      <alignment horizontal="center"/>
    </xf>
    <xf numFmtId="0" fontId="11" fillId="3" borderId="46" xfId="0" applyFont="1" applyFill="1" applyBorder="1" applyAlignment="1">
      <alignment horizontal="right"/>
    </xf>
    <xf numFmtId="0" fontId="11" fillId="3" borderId="46" xfId="0" applyFont="1" applyFill="1" applyBorder="1" applyAlignment="1">
      <alignment horizontal="left"/>
    </xf>
    <xf numFmtId="4" fontId="11" fillId="3" borderId="46" xfId="0" applyNumberFormat="1" applyFont="1" applyFill="1" applyBorder="1"/>
    <xf numFmtId="165" fontId="11" fillId="3" borderId="46" xfId="0" applyNumberFormat="1" applyFont="1" applyFill="1" applyBorder="1"/>
    <xf numFmtId="2" fontId="11" fillId="3" borderId="46" xfId="0" applyNumberFormat="1" applyFont="1" applyFill="1" applyBorder="1"/>
    <xf numFmtId="0" fontId="11" fillId="3" borderId="47" xfId="0" applyFont="1" applyFill="1" applyBorder="1" applyAlignment="1">
      <alignment horizontal="right"/>
    </xf>
    <xf numFmtId="0" fontId="11" fillId="3" borderId="48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left"/>
    </xf>
    <xf numFmtId="4" fontId="11" fillId="3" borderId="0" xfId="0" applyNumberFormat="1" applyFont="1" applyFill="1" applyBorder="1"/>
    <xf numFmtId="165" fontId="11" fillId="3" borderId="0" xfId="0" applyNumberFormat="1" applyFont="1" applyFill="1" applyBorder="1"/>
    <xf numFmtId="2" fontId="11" fillId="3" borderId="0" xfId="0" applyNumberFormat="1" applyFont="1" applyFill="1" applyBorder="1"/>
    <xf numFmtId="0" fontId="11" fillId="3" borderId="49" xfId="0" applyFont="1" applyFill="1" applyBorder="1" applyAlignment="1">
      <alignment horizontal="right"/>
    </xf>
    <xf numFmtId="0" fontId="11" fillId="3" borderId="50" xfId="0" applyFont="1" applyFill="1" applyBorder="1"/>
    <xf numFmtId="0" fontId="11" fillId="3" borderId="52" xfId="0" applyFont="1" applyFill="1" applyBorder="1"/>
    <xf numFmtId="0" fontId="10" fillId="3" borderId="70" xfId="0" applyFont="1" applyFill="1" applyBorder="1" applyAlignment="1" applyProtection="1">
      <alignment horizontal="left" vertical="center"/>
    </xf>
    <xf numFmtId="0" fontId="0" fillId="3" borderId="51" xfId="0" applyFill="1" applyBorder="1" applyAlignment="1">
      <alignment horizontal="center"/>
    </xf>
    <xf numFmtId="1" fontId="0" fillId="3" borderId="49" xfId="0" applyNumberFormat="1" applyFill="1" applyBorder="1" applyAlignment="1" applyProtection="1">
      <alignment horizontal="center"/>
    </xf>
    <xf numFmtId="0" fontId="0" fillId="2" borderId="67" xfId="0" applyFill="1" applyBorder="1" applyProtection="1"/>
    <xf numFmtId="0" fontId="0" fillId="2" borderId="68" xfId="0" applyFill="1" applyBorder="1" applyProtection="1"/>
    <xf numFmtId="1" fontId="0" fillId="3" borderId="0" xfId="0" applyNumberFormat="1" applyFill="1" applyBorder="1" applyAlignment="1" applyProtection="1">
      <alignment horizontal="center"/>
    </xf>
    <xf numFmtId="1" fontId="0" fillId="3" borderId="49" xfId="0" applyNumberFormat="1" applyFill="1" applyBorder="1" applyAlignment="1" applyProtection="1">
      <alignment horizontal="center"/>
    </xf>
    <xf numFmtId="14" fontId="10" fillId="3" borderId="71" xfId="0" applyNumberFormat="1" applyFont="1" applyFill="1" applyBorder="1" applyAlignment="1" applyProtection="1">
      <alignment horizontal="center" vertical="center"/>
    </xf>
    <xf numFmtId="0" fontId="11" fillId="3" borderId="70" xfId="0" applyFont="1" applyFill="1" applyBorder="1" applyAlignment="1" applyProtection="1">
      <alignment horizontal="left"/>
    </xf>
    <xf numFmtId="0" fontId="11" fillId="3" borderId="71" xfId="0" applyFont="1" applyFill="1" applyBorder="1" applyAlignment="1" applyProtection="1">
      <alignment horizontal="left"/>
    </xf>
    <xf numFmtId="14" fontId="11" fillId="3" borderId="71" xfId="0" applyNumberFormat="1" applyFont="1" applyFill="1" applyBorder="1" applyAlignment="1" applyProtection="1">
      <alignment horizontal="center" vertical="center"/>
    </xf>
    <xf numFmtId="0" fontId="11" fillId="3" borderId="70" xfId="0" applyFont="1" applyFill="1" applyBorder="1" applyAlignment="1" applyProtection="1">
      <alignment horizontal="center"/>
    </xf>
    <xf numFmtId="0" fontId="11" fillId="3" borderId="71" xfId="0" applyFont="1" applyFill="1" applyBorder="1" applyAlignment="1" applyProtection="1">
      <alignment horizontal="center"/>
    </xf>
    <xf numFmtId="0" fontId="0" fillId="3" borderId="0" xfId="0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0" fontId="8" fillId="3" borderId="9" xfId="0" applyFont="1" applyFill="1" applyBorder="1" applyAlignment="1" applyProtection="1">
      <alignment horizontal="left"/>
    </xf>
    <xf numFmtId="0" fontId="8" fillId="3" borderId="10" xfId="0" applyFont="1" applyFill="1" applyBorder="1" applyAlignment="1" applyProtection="1">
      <alignment horizontal="left"/>
    </xf>
    <xf numFmtId="0" fontId="8" fillId="3" borderId="10" xfId="0" applyFont="1" applyFill="1" applyBorder="1" applyAlignment="1">
      <alignment horizontal="left"/>
    </xf>
    <xf numFmtId="0" fontId="8" fillId="3" borderId="11" xfId="0" applyFont="1" applyFill="1" applyBorder="1" applyAlignment="1">
      <alignment horizontal="left"/>
    </xf>
  </cellXfs>
  <cellStyles count="1">
    <cellStyle name="Normal" xfId="0" builtinId="0"/>
  </cellStyles>
  <dxfs count="44"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fgColor indexed="64"/>
          <bgColor rgb="FF00B050"/>
        </patternFill>
      </fill>
    </dxf>
    <dxf>
      <font>
        <b/>
        <i val="0"/>
      </font>
      <fill>
        <patternFill>
          <fgColor indexed="64"/>
          <bgColor rgb="FFFF0000"/>
        </patternFill>
      </fill>
    </dxf>
    <dxf>
      <font>
        <color theme="2"/>
      </font>
      <fill>
        <patternFill>
          <fgColor indexed="64"/>
          <bgColor theme="2"/>
        </patternFill>
      </fill>
      <border>
        <left/>
        <right/>
        <top/>
        <bottom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fgColor indexed="64"/>
          <bgColor rgb="FF00B050"/>
        </patternFill>
      </fill>
    </dxf>
    <dxf>
      <font>
        <b/>
        <i val="0"/>
      </font>
      <fill>
        <patternFill>
          <fgColor indexed="64"/>
          <bgColor rgb="FFFF0000"/>
        </patternFill>
      </fill>
    </dxf>
    <dxf>
      <font>
        <color theme="2"/>
      </font>
      <fill>
        <patternFill>
          <fgColor indexed="64"/>
          <bgColor theme="2"/>
        </patternFill>
      </fill>
      <border>
        <left/>
        <right/>
        <top/>
        <bottom/>
      </border>
    </dxf>
    <dxf>
      <font>
        <b/>
        <i val="0"/>
      </font>
      <fill>
        <patternFill>
          <fgColor indexed="64"/>
          <bgColor rgb="FF00B050"/>
        </patternFill>
      </fill>
    </dxf>
    <dxf>
      <font>
        <b/>
        <i val="0"/>
      </font>
      <fill>
        <patternFill>
          <fgColor indexed="64"/>
          <bgColor rgb="FFFF0000"/>
        </patternFill>
      </fill>
    </dxf>
    <dxf>
      <font>
        <color theme="2"/>
      </font>
      <fill>
        <patternFill>
          <fgColor indexed="64"/>
          <bgColor theme="2"/>
        </patternFill>
      </fill>
      <border>
        <left/>
        <right/>
        <top/>
        <bottom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fgColor indexed="64"/>
          <bgColor rgb="FF00B050"/>
        </patternFill>
      </fill>
    </dxf>
    <dxf>
      <font>
        <b/>
        <i val="0"/>
      </font>
      <fill>
        <patternFill>
          <fgColor indexed="64"/>
          <bgColor rgb="FFFF0000"/>
        </patternFill>
      </fill>
    </dxf>
    <dxf>
      <font>
        <color theme="2"/>
      </font>
      <fill>
        <patternFill>
          <fgColor indexed="64"/>
          <bgColor theme="2"/>
        </patternFill>
      </fill>
      <border>
        <left/>
        <right/>
        <top/>
        <bottom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fgColor indexed="64"/>
          <bgColor rgb="FF00B050"/>
        </patternFill>
      </fill>
    </dxf>
    <dxf>
      <font>
        <b/>
        <i val="0"/>
      </font>
      <fill>
        <patternFill>
          <fgColor indexed="64"/>
          <bgColor rgb="FFFF0000"/>
        </patternFill>
      </fill>
    </dxf>
    <dxf>
      <font>
        <color theme="2"/>
      </font>
      <fill>
        <patternFill>
          <fgColor indexed="64"/>
          <bgColor theme="2"/>
        </patternFill>
      </fill>
      <border>
        <left/>
        <right/>
        <top/>
        <bottom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fgColor indexed="64"/>
          <bgColor rgb="FF00B050"/>
        </patternFill>
      </fill>
    </dxf>
    <dxf>
      <font>
        <b/>
        <i val="0"/>
      </font>
      <fill>
        <patternFill>
          <fgColor indexed="64"/>
          <bgColor rgb="FFFF0000"/>
        </patternFill>
      </fill>
    </dxf>
    <dxf>
      <font>
        <color theme="2"/>
      </font>
      <fill>
        <patternFill>
          <fgColor indexed="64"/>
          <bgColor theme="2"/>
        </patternFill>
      </fill>
      <border>
        <left/>
        <right/>
        <top/>
        <bottom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 patternType="solid">
          <fgColor auto="1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fgColor indexed="64"/>
          <bgColor rgb="FF00B050"/>
        </patternFill>
      </fill>
    </dxf>
    <dxf>
      <font>
        <b/>
        <i val="0"/>
      </font>
      <fill>
        <patternFill>
          <fgColor indexed="64"/>
          <bgColor rgb="FFFF0000"/>
        </patternFill>
      </fill>
    </dxf>
    <dxf>
      <font>
        <color theme="2"/>
      </font>
      <fill>
        <patternFill>
          <fgColor indexed="64"/>
          <bgColor theme="2"/>
        </patternFill>
      </fill>
      <border>
        <left/>
        <right/>
        <top/>
        <bottom/>
      </border>
    </dxf>
    <dxf>
      <font>
        <color theme="2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fgColor indexed="64"/>
          <bgColor rgb="FF00B050"/>
        </patternFill>
      </fill>
    </dxf>
    <dxf>
      <font>
        <b/>
        <i val="0"/>
      </font>
      <fill>
        <patternFill>
          <fgColor indexed="64"/>
          <bgColor rgb="FFFF0000"/>
        </patternFill>
      </fill>
    </dxf>
    <dxf>
      <font>
        <color theme="2"/>
      </font>
      <fill>
        <patternFill>
          <fgColor indexed="64"/>
          <bgColor theme="2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Range="$L$299:$L$303" noThreeD="1" sel="1" val="0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11</xdr:row>
          <xdr:rowOff>190500</xdr:rowOff>
        </xdr:from>
        <xdr:to>
          <xdr:col>11</xdr:col>
          <xdr:colOff>190500</xdr:colOff>
          <xdr:row>12</xdr:row>
          <xdr:rowOff>190500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</xdr:row>
          <xdr:rowOff>9525</xdr:rowOff>
        </xdr:from>
        <xdr:to>
          <xdr:col>9</xdr:col>
          <xdr:colOff>390525</xdr:colOff>
          <xdr:row>2</xdr:row>
          <xdr:rowOff>66675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85725</xdr:rowOff>
        </xdr:from>
        <xdr:to>
          <xdr:col>9</xdr:col>
          <xdr:colOff>457200</xdr:colOff>
          <xdr:row>3</xdr:row>
          <xdr:rowOff>142875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3</xdr:row>
          <xdr:rowOff>161925</xdr:rowOff>
        </xdr:from>
        <xdr:to>
          <xdr:col>9</xdr:col>
          <xdr:colOff>485775</xdr:colOff>
          <xdr:row>5</xdr:row>
          <xdr:rowOff>28575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Govy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142875</xdr:rowOff>
        </xdr:from>
        <xdr:to>
          <xdr:col>6</xdr:col>
          <xdr:colOff>314325</xdr:colOff>
          <xdr:row>31</xdr:row>
          <xdr:rowOff>161925</xdr:rowOff>
        </xdr:to>
        <xdr:sp macro="" textlink="">
          <xdr:nvSpPr>
            <xdr:cNvPr id="1101" name="OK/SAVE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OK/SAVE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30</xdr:row>
          <xdr:rowOff>123825</xdr:rowOff>
        </xdr:from>
        <xdr:to>
          <xdr:col>18</xdr:col>
          <xdr:colOff>104775</xdr:colOff>
          <xdr:row>31</xdr:row>
          <xdr:rowOff>171450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Auto Price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152400</xdr:rowOff>
        </xdr:from>
        <xdr:to>
          <xdr:col>13</xdr:col>
          <xdr:colOff>333375</xdr:colOff>
          <xdr:row>32</xdr:row>
          <xdr:rowOff>28575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CANCEL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180975</xdr:rowOff>
        </xdr:from>
        <xdr:to>
          <xdr:col>10</xdr:col>
          <xdr:colOff>38100</xdr:colOff>
          <xdr:row>7</xdr:row>
          <xdr:rowOff>0</xdr:rowOff>
        </xdr:to>
        <xdr:sp macro="" textlink="">
          <xdr:nvSpPr>
            <xdr:cNvPr id="1120" name="Option 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All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7</xdr:row>
          <xdr:rowOff>57150</xdr:rowOff>
        </xdr:from>
        <xdr:to>
          <xdr:col>9</xdr:col>
          <xdr:colOff>600075</xdr:colOff>
          <xdr:row>8</xdr:row>
          <xdr:rowOff>142875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5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142875</xdr:rowOff>
        </xdr:from>
        <xdr:to>
          <xdr:col>6</xdr:col>
          <xdr:colOff>314325</xdr:colOff>
          <xdr:row>31</xdr:row>
          <xdr:rowOff>161925</xdr:rowOff>
        </xdr:to>
        <xdr:sp macro="" textlink="">
          <xdr:nvSpPr>
            <xdr:cNvPr id="1125" name="OK/SAVE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OK/SAVE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30</xdr:row>
          <xdr:rowOff>123825</xdr:rowOff>
        </xdr:from>
        <xdr:to>
          <xdr:col>18</xdr:col>
          <xdr:colOff>104775</xdr:colOff>
          <xdr:row>31</xdr:row>
          <xdr:rowOff>171450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Auto Price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152400</xdr:rowOff>
        </xdr:from>
        <xdr:to>
          <xdr:col>13</xdr:col>
          <xdr:colOff>333375</xdr:colOff>
          <xdr:row>32</xdr:row>
          <xdr:rowOff>28575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CANCEL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142875</xdr:rowOff>
        </xdr:from>
        <xdr:to>
          <xdr:col>6</xdr:col>
          <xdr:colOff>314325</xdr:colOff>
          <xdr:row>31</xdr:row>
          <xdr:rowOff>161925</xdr:rowOff>
        </xdr:to>
        <xdr:sp macro="" textlink="">
          <xdr:nvSpPr>
            <xdr:cNvPr id="1128" name="OK/SAV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OK/SAVE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30</xdr:row>
          <xdr:rowOff>123825</xdr:rowOff>
        </xdr:from>
        <xdr:to>
          <xdr:col>18</xdr:col>
          <xdr:colOff>104775</xdr:colOff>
          <xdr:row>31</xdr:row>
          <xdr:rowOff>171450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Auto Price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152400</xdr:rowOff>
        </xdr:from>
        <xdr:to>
          <xdr:col>13</xdr:col>
          <xdr:colOff>333375</xdr:colOff>
          <xdr:row>32</xdr:row>
          <xdr:rowOff>28575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CANCEL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142875</xdr:rowOff>
        </xdr:from>
        <xdr:to>
          <xdr:col>6</xdr:col>
          <xdr:colOff>314325</xdr:colOff>
          <xdr:row>31</xdr:row>
          <xdr:rowOff>161925</xdr:rowOff>
        </xdr:to>
        <xdr:sp macro="" textlink="">
          <xdr:nvSpPr>
            <xdr:cNvPr id="1131" name="OK/SAVE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OK/SAVE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30</xdr:row>
          <xdr:rowOff>123825</xdr:rowOff>
        </xdr:from>
        <xdr:to>
          <xdr:col>18</xdr:col>
          <xdr:colOff>104775</xdr:colOff>
          <xdr:row>31</xdr:row>
          <xdr:rowOff>171450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Auto Price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152400</xdr:rowOff>
        </xdr:from>
        <xdr:to>
          <xdr:col>13</xdr:col>
          <xdr:colOff>333375</xdr:colOff>
          <xdr:row>32</xdr:row>
          <xdr:rowOff>28575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CANCEL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142875</xdr:rowOff>
        </xdr:from>
        <xdr:to>
          <xdr:col>6</xdr:col>
          <xdr:colOff>314325</xdr:colOff>
          <xdr:row>31</xdr:row>
          <xdr:rowOff>161925</xdr:rowOff>
        </xdr:to>
        <xdr:sp macro="" textlink="">
          <xdr:nvSpPr>
            <xdr:cNvPr id="1134" name="OK/SAVE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OK/SAVE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30</xdr:row>
          <xdr:rowOff>123825</xdr:rowOff>
        </xdr:from>
        <xdr:to>
          <xdr:col>18</xdr:col>
          <xdr:colOff>104775</xdr:colOff>
          <xdr:row>31</xdr:row>
          <xdr:rowOff>171450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Auto Price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152400</xdr:rowOff>
        </xdr:from>
        <xdr:to>
          <xdr:col>13</xdr:col>
          <xdr:colOff>333375</xdr:colOff>
          <xdr:row>32</xdr:row>
          <xdr:rowOff>28575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CANCEL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142875</xdr:rowOff>
        </xdr:from>
        <xdr:to>
          <xdr:col>6</xdr:col>
          <xdr:colOff>314325</xdr:colOff>
          <xdr:row>31</xdr:row>
          <xdr:rowOff>161925</xdr:rowOff>
        </xdr:to>
        <xdr:sp macro="" textlink="">
          <xdr:nvSpPr>
            <xdr:cNvPr id="6146" name="OK/SAV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OK/SAVE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30</xdr:row>
          <xdr:rowOff>123825</xdr:rowOff>
        </xdr:from>
        <xdr:to>
          <xdr:col>18</xdr:col>
          <xdr:colOff>104775</xdr:colOff>
          <xdr:row>31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Auto Price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152400</xdr:rowOff>
        </xdr:from>
        <xdr:to>
          <xdr:col>13</xdr:col>
          <xdr:colOff>333375</xdr:colOff>
          <xdr:row>32</xdr:row>
          <xdr:rowOff>28575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</a:rPr>
                <a:t>CANCEL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33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C303"/>
  <sheetViews>
    <sheetView tabSelected="1" workbookViewId="0">
      <selection activeCell="N12" sqref="N12"/>
    </sheetView>
  </sheetViews>
  <sheetFormatPr defaultRowHeight="15" customHeight="1" x14ac:dyDescent="0.25"/>
  <cols>
    <col min="1" max="1" width="1.5703125" customWidth="1"/>
    <col min="2" max="2" width="0.42578125" customWidth="1"/>
    <col min="3" max="3" width="6.28515625" customWidth="1"/>
    <col min="4" max="4" width="9.5703125" customWidth="1"/>
    <col min="5" max="5" width="11.28515625" customWidth="1"/>
    <col min="6" max="6" width="9" customWidth="1"/>
    <col min="7" max="7" width="10.28515625" customWidth="1"/>
    <col min="8" max="8" width="14.42578125" customWidth="1"/>
    <col min="9" max="9" width="10.7109375" customWidth="1"/>
    <col min="10" max="10" width="9.42578125" customWidth="1"/>
    <col min="11" max="11" width="8.42578125" customWidth="1"/>
    <col min="13" max="13" width="12" customWidth="1"/>
    <col min="14" max="14" width="12.85546875" customWidth="1"/>
    <col min="15" max="15" width="12" customWidth="1"/>
    <col min="16" max="16" width="11.28515625" customWidth="1"/>
    <col min="17" max="17" width="10.140625" customWidth="1"/>
    <col min="18" max="18" width="12.140625" customWidth="1"/>
    <col min="20" max="20" width="4.140625" customWidth="1"/>
    <col min="21" max="21" width="4" customWidth="1"/>
    <col min="22" max="22" width="3.85546875" customWidth="1"/>
    <col min="23" max="23" width="3.42578125" customWidth="1"/>
    <col min="24" max="24" width="3.85546875" customWidth="1"/>
    <col min="25" max="25" width="4.140625" customWidth="1"/>
    <col min="26" max="26" width="9.42578125" customWidth="1"/>
    <col min="27" max="27" width="0.7109375" customWidth="1"/>
    <col min="28" max="314" width="9.140625" style="7"/>
  </cols>
  <sheetData>
    <row r="1" spans="1:315" ht="15.75" thickBot="1" x14ac:dyDescent="0.3">
      <c r="A1" s="97"/>
      <c r="B1" s="9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97"/>
      <c r="Q1" s="97"/>
      <c r="R1" s="97"/>
      <c r="S1" s="97"/>
      <c r="T1" s="2"/>
      <c r="U1" s="2"/>
      <c r="V1" s="2"/>
      <c r="W1" s="2"/>
      <c r="X1" s="2"/>
      <c r="Y1" s="2"/>
      <c r="Z1" s="2"/>
      <c r="AA1" s="2"/>
    </row>
    <row r="2" spans="1:315" ht="15.75" thickBot="1" x14ac:dyDescent="0.3">
      <c r="A2" s="97"/>
      <c r="B2" s="150"/>
      <c r="C2" s="196"/>
      <c r="D2" s="188"/>
      <c r="E2" s="188"/>
      <c r="F2" s="188"/>
      <c r="G2" s="188"/>
      <c r="H2" s="188"/>
      <c r="I2" s="188"/>
      <c r="J2" s="189"/>
      <c r="K2" s="2"/>
      <c r="L2" s="196" t="s">
        <v>35</v>
      </c>
      <c r="M2" s="188"/>
      <c r="N2" s="189"/>
      <c r="O2" s="97"/>
      <c r="P2" s="97"/>
      <c r="Q2" s="97"/>
      <c r="R2" s="97"/>
      <c r="S2" s="2"/>
      <c r="T2" s="2"/>
      <c r="U2" s="2"/>
      <c r="V2" s="2"/>
      <c r="W2" s="2"/>
      <c r="X2" s="2"/>
      <c r="Y2" s="2"/>
      <c r="Z2" s="7"/>
      <c r="AA2" s="7"/>
      <c r="LA2"/>
      <c r="LB2"/>
    </row>
    <row r="3" spans="1:315" ht="15.75" thickBot="1" x14ac:dyDescent="0.3">
      <c r="A3" s="97"/>
      <c r="B3" s="97"/>
      <c r="C3" s="190"/>
      <c r="D3" s="150" t="s">
        <v>14</v>
      </c>
      <c r="E3" s="206" t="s">
        <v>41</v>
      </c>
      <c r="F3" s="158"/>
      <c r="G3" s="97"/>
      <c r="H3" s="97"/>
      <c r="I3" s="97"/>
      <c r="J3" s="191"/>
      <c r="K3" s="2"/>
      <c r="L3" s="202" t="s">
        <v>2</v>
      </c>
      <c r="M3" s="307" t="s">
        <v>36</v>
      </c>
      <c r="N3" s="308"/>
      <c r="O3" s="97"/>
      <c r="P3" s="150"/>
      <c r="Q3" s="97"/>
      <c r="R3" s="97"/>
      <c r="S3" s="2"/>
      <c r="T3" s="2"/>
      <c r="U3" s="2"/>
      <c r="V3" s="2"/>
      <c r="W3" s="2"/>
      <c r="X3" s="2"/>
      <c r="Y3" s="2"/>
      <c r="Z3" s="7"/>
      <c r="AA3" s="7"/>
      <c r="LA3"/>
      <c r="LB3"/>
    </row>
    <row r="4" spans="1:315" x14ac:dyDescent="0.25">
      <c r="A4" s="97"/>
      <c r="B4" s="97"/>
      <c r="C4" s="190"/>
      <c r="D4" s="97"/>
      <c r="E4" s="97"/>
      <c r="F4" s="97"/>
      <c r="G4" s="97"/>
      <c r="H4" s="97"/>
      <c r="I4" s="97"/>
      <c r="J4" s="191"/>
      <c r="K4" s="2"/>
      <c r="L4" s="197" t="s">
        <v>26</v>
      </c>
      <c r="M4" s="166" t="s">
        <v>26</v>
      </c>
      <c r="N4" s="198" t="s">
        <v>26</v>
      </c>
      <c r="O4" s="2"/>
      <c r="P4" s="207" t="s">
        <v>26</v>
      </c>
      <c r="Q4" s="2"/>
      <c r="R4" s="2"/>
      <c r="S4" s="2"/>
      <c r="T4" s="2"/>
      <c r="U4" s="2"/>
      <c r="V4" s="2"/>
      <c r="W4" s="2"/>
      <c r="X4" s="2"/>
      <c r="Y4" s="2"/>
      <c r="Z4" s="7"/>
      <c r="AA4" s="7"/>
      <c r="LA4"/>
      <c r="LB4"/>
    </row>
    <row r="5" spans="1:315" ht="15.75" thickBot="1" x14ac:dyDescent="0.3">
      <c r="A5" s="97"/>
      <c r="B5" s="97"/>
      <c r="C5" s="190"/>
      <c r="D5" s="97"/>
      <c r="E5" s="97"/>
      <c r="F5" s="97"/>
      <c r="G5" s="97"/>
      <c r="H5" s="97"/>
      <c r="I5" s="97"/>
      <c r="J5" s="191"/>
      <c r="K5" s="97"/>
      <c r="L5" s="199" t="s">
        <v>26</v>
      </c>
      <c r="M5" s="82" t="s">
        <v>26</v>
      </c>
      <c r="N5" s="198" t="s">
        <v>26</v>
      </c>
      <c r="O5" s="2"/>
      <c r="P5" s="207" t="s">
        <v>26</v>
      </c>
      <c r="Q5" s="2"/>
      <c r="R5" s="2"/>
      <c r="S5" s="2"/>
      <c r="T5" s="2"/>
      <c r="U5" s="2"/>
      <c r="V5" s="2"/>
      <c r="W5" s="2"/>
      <c r="X5" s="2"/>
      <c r="Y5" s="2"/>
      <c r="Z5" s="7"/>
      <c r="AA5" s="7"/>
      <c r="LA5"/>
      <c r="LB5"/>
    </row>
    <row r="6" spans="1:315" ht="15.75" thickBot="1" x14ac:dyDescent="0.3">
      <c r="A6" s="97"/>
      <c r="B6" s="97"/>
      <c r="C6" s="190"/>
      <c r="D6" s="150" t="s">
        <v>15</v>
      </c>
      <c r="E6" s="161" t="s">
        <v>26</v>
      </c>
      <c r="F6" s="150"/>
      <c r="G6" s="97"/>
      <c r="H6" s="97"/>
      <c r="I6" s="97"/>
      <c r="J6" s="191"/>
      <c r="K6" s="6"/>
      <c r="L6" s="199"/>
      <c r="M6" s="82"/>
      <c r="N6" s="200"/>
      <c r="O6" s="2"/>
      <c r="P6" s="207"/>
      <c r="Q6" s="2"/>
      <c r="R6" s="2"/>
      <c r="S6" s="2"/>
      <c r="T6" s="2"/>
      <c r="U6" s="2"/>
      <c r="V6" s="2"/>
      <c r="W6" s="2"/>
      <c r="X6" s="2"/>
      <c r="Y6" s="2"/>
      <c r="Z6" s="7"/>
      <c r="AA6" s="7"/>
      <c r="LA6"/>
      <c r="LB6"/>
    </row>
    <row r="7" spans="1:315" ht="15.75" thickBot="1" x14ac:dyDescent="0.3">
      <c r="A7" s="97"/>
      <c r="B7" s="97"/>
      <c r="C7" s="190"/>
      <c r="D7" s="97"/>
      <c r="E7" s="97" t="s">
        <v>26</v>
      </c>
      <c r="F7" s="97"/>
      <c r="G7" s="97"/>
      <c r="H7" s="97"/>
      <c r="I7" s="97"/>
      <c r="J7" s="191"/>
      <c r="K7" s="6"/>
      <c r="L7" s="201"/>
      <c r="M7" s="194"/>
      <c r="N7" s="195"/>
      <c r="O7" s="2"/>
      <c r="P7" s="97"/>
      <c r="Q7" s="2"/>
      <c r="R7" s="2"/>
      <c r="S7" s="2"/>
      <c r="T7" s="2"/>
      <c r="U7" s="2"/>
      <c r="V7" s="2"/>
      <c r="W7" s="2"/>
      <c r="X7" s="2"/>
      <c r="Y7" s="2"/>
      <c r="Z7" s="7"/>
      <c r="AA7" s="7"/>
      <c r="LA7"/>
      <c r="LB7"/>
    </row>
    <row r="8" spans="1:315" ht="15.75" thickBot="1" x14ac:dyDescent="0.3">
      <c r="A8" s="97"/>
      <c r="B8" s="97"/>
      <c r="C8" s="190"/>
      <c r="D8" s="97" t="s">
        <v>81</v>
      </c>
      <c r="E8" s="162" t="s">
        <v>26</v>
      </c>
      <c r="F8" s="159"/>
      <c r="G8" s="165" t="s">
        <v>16</v>
      </c>
      <c r="H8" s="157" t="s">
        <v>26</v>
      </c>
      <c r="I8" s="150"/>
      <c r="J8" s="192"/>
      <c r="K8" s="97"/>
      <c r="L8" s="97"/>
      <c r="M8" s="97"/>
      <c r="N8" s="2"/>
      <c r="O8" s="2"/>
      <c r="P8" s="97"/>
      <c r="Q8" s="2"/>
      <c r="R8" s="2"/>
      <c r="S8" s="2"/>
      <c r="T8" s="97"/>
      <c r="U8" s="2"/>
      <c r="V8" s="2"/>
      <c r="W8" s="97"/>
      <c r="X8" s="2"/>
      <c r="Y8" s="2"/>
      <c r="Z8" s="7"/>
      <c r="AA8" s="7"/>
      <c r="LA8"/>
      <c r="LB8"/>
    </row>
    <row r="9" spans="1:315" ht="15.75" thickBot="1" x14ac:dyDescent="0.3">
      <c r="A9" s="97"/>
      <c r="B9" s="97"/>
      <c r="C9" s="190"/>
      <c r="D9" s="97"/>
      <c r="E9" s="97" t="s">
        <v>26</v>
      </c>
      <c r="F9" s="97"/>
      <c r="G9" s="153"/>
      <c r="H9" s="97" t="s">
        <v>26</v>
      </c>
      <c r="I9" s="97"/>
      <c r="J9" s="192"/>
      <c r="K9" s="97"/>
      <c r="L9" s="2"/>
      <c r="M9" s="2"/>
      <c r="N9" s="2"/>
      <c r="O9" s="2"/>
      <c r="P9" s="97"/>
      <c r="Q9" s="2"/>
      <c r="R9" s="2"/>
      <c r="S9" s="2"/>
      <c r="T9" s="2"/>
      <c r="U9" s="2"/>
      <c r="V9" s="2"/>
      <c r="W9" s="2"/>
      <c r="X9" s="2"/>
      <c r="Y9" s="2"/>
      <c r="Z9" s="7"/>
      <c r="AA9" s="7"/>
      <c r="LA9"/>
      <c r="LB9"/>
    </row>
    <row r="10" spans="1:315" ht="15.75" thickBot="1" x14ac:dyDescent="0.3">
      <c r="A10" s="97"/>
      <c r="B10" s="97"/>
      <c r="C10" s="190"/>
      <c r="D10" s="97" t="s">
        <v>38</v>
      </c>
      <c r="E10" s="163" t="s">
        <v>26</v>
      </c>
      <c r="F10" s="160"/>
      <c r="G10" s="165" t="s">
        <v>17</v>
      </c>
      <c r="H10" s="164" t="s">
        <v>26</v>
      </c>
      <c r="I10" s="154"/>
      <c r="J10" s="192"/>
      <c r="K10" s="97"/>
      <c r="L10" s="2" t="s">
        <v>26</v>
      </c>
      <c r="M10" s="2" t="s">
        <v>37</v>
      </c>
      <c r="N10" s="181">
        <f ca="1">TODAY()</f>
        <v>43732</v>
      </c>
      <c r="O10" s="156"/>
      <c r="P10" s="208" t="s">
        <v>26</v>
      </c>
      <c r="Q10" s="156"/>
      <c r="R10" s="2"/>
      <c r="S10" s="2"/>
      <c r="T10" s="2"/>
      <c r="U10" s="2"/>
      <c r="V10" s="2"/>
      <c r="W10" s="2"/>
      <c r="X10" s="2"/>
      <c r="Y10" s="2"/>
      <c r="Z10" s="2"/>
      <c r="AA10" s="7"/>
      <c r="LB10"/>
    </row>
    <row r="11" spans="1:315" ht="15.75" thickBot="1" x14ac:dyDescent="0.3">
      <c r="A11" s="97"/>
      <c r="B11" s="97"/>
      <c r="C11" s="193"/>
      <c r="D11" s="194"/>
      <c r="E11" s="194"/>
      <c r="F11" s="194"/>
      <c r="G11" s="194"/>
      <c r="H11" s="194"/>
      <c r="I11" s="194"/>
      <c r="J11" s="195"/>
      <c r="K11" s="3"/>
      <c r="L11" s="2"/>
      <c r="M11" s="2"/>
      <c r="N11" s="2"/>
      <c r="O11" s="2"/>
      <c r="P11" s="97"/>
      <c r="Q11" s="97"/>
      <c r="R11" s="2"/>
      <c r="S11" s="2"/>
      <c r="T11" s="2"/>
      <c r="U11" s="2"/>
      <c r="V11" s="2"/>
      <c r="W11" s="97"/>
      <c r="X11" s="2"/>
      <c r="Y11" s="2"/>
      <c r="Z11" s="2"/>
      <c r="AA11" s="7"/>
      <c r="LB11"/>
    </row>
    <row r="12" spans="1:315" ht="15.75" thickBot="1" x14ac:dyDescent="0.3">
      <c r="A12" s="97"/>
      <c r="B12" s="97"/>
      <c r="C12" s="97"/>
      <c r="D12" s="97"/>
      <c r="E12" s="97"/>
      <c r="F12" s="97"/>
      <c r="G12" s="97"/>
      <c r="H12" s="97"/>
      <c r="I12" s="97"/>
      <c r="J12" s="97"/>
      <c r="K12" s="2"/>
      <c r="L12" s="2"/>
      <c r="M12" s="2" t="s">
        <v>26</v>
      </c>
      <c r="N12" s="2"/>
      <c r="O12" s="2"/>
      <c r="P12" s="97"/>
      <c r="Q12" s="2"/>
      <c r="R12" s="2"/>
      <c r="S12" s="2"/>
      <c r="T12" s="2"/>
      <c r="U12" s="2"/>
      <c r="V12" s="2"/>
      <c r="W12" s="2"/>
      <c r="X12" s="2"/>
      <c r="Y12" s="2"/>
      <c r="Z12" s="2"/>
      <c r="AA12" s="7"/>
      <c r="LB12"/>
    </row>
    <row r="13" spans="1:315" ht="15.75" thickBot="1" x14ac:dyDescent="0.3">
      <c r="A13" s="97"/>
      <c r="B13" s="97"/>
      <c r="C13" s="2"/>
      <c r="D13" s="150" t="s">
        <v>18</v>
      </c>
      <c r="E13" s="182">
        <f ca="1">WORKDAY(N10,2)</f>
        <v>43734</v>
      </c>
      <c r="F13" s="155"/>
      <c r="G13" s="203" t="s">
        <v>26</v>
      </c>
      <c r="H13" s="2" t="s">
        <v>26</v>
      </c>
      <c r="I13" s="2"/>
      <c r="J13" s="2" t="s">
        <v>19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97"/>
      <c r="Y13" s="97"/>
      <c r="Z13" s="97"/>
      <c r="AA13" s="7"/>
      <c r="LB13"/>
    </row>
    <row r="14" spans="1:315" x14ac:dyDescent="0.25">
      <c r="A14" s="97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84"/>
      <c r="AA14" s="7"/>
      <c r="LB14"/>
    </row>
    <row r="15" spans="1:315" ht="15.75" thickBot="1" x14ac:dyDescent="0.3">
      <c r="A15" s="7"/>
      <c r="B15" s="97"/>
      <c r="C15" s="97"/>
      <c r="D15" s="85" t="s">
        <v>28</v>
      </c>
      <c r="E15" s="204" t="s">
        <v>85</v>
      </c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86"/>
      <c r="V15" s="97"/>
      <c r="W15" s="97"/>
      <c r="X15" s="97"/>
      <c r="Y15" s="97"/>
      <c r="Z15" s="97"/>
      <c r="AA15" s="97"/>
      <c r="AB15" s="97"/>
      <c r="AC15" s="83"/>
      <c r="LC15" s="7"/>
    </row>
    <row r="16" spans="1:315" ht="15.75" thickBot="1" x14ac:dyDescent="0.3">
      <c r="A16" s="7"/>
      <c r="B16" s="97"/>
      <c r="C16" s="97"/>
      <c r="D16" s="174" t="s">
        <v>39</v>
      </c>
      <c r="E16" s="175" t="s">
        <v>0</v>
      </c>
      <c r="F16" s="176" t="s">
        <v>1</v>
      </c>
      <c r="G16" s="177" t="s">
        <v>2</v>
      </c>
      <c r="H16" s="177" t="s">
        <v>3</v>
      </c>
      <c r="I16" s="178" t="s">
        <v>4</v>
      </c>
      <c r="J16" s="178" t="s">
        <v>79</v>
      </c>
      <c r="K16" s="179" t="s">
        <v>80</v>
      </c>
      <c r="L16" s="178" t="s">
        <v>5</v>
      </c>
      <c r="M16" s="178" t="s">
        <v>6</v>
      </c>
      <c r="N16" s="178" t="s">
        <v>7</v>
      </c>
      <c r="O16" s="178" t="s">
        <v>9</v>
      </c>
      <c r="P16" s="178" t="s">
        <v>8</v>
      </c>
      <c r="Q16" s="178" t="s">
        <v>10</v>
      </c>
      <c r="R16" s="180" t="s">
        <v>42</v>
      </c>
      <c r="S16" s="97"/>
      <c r="T16" s="7"/>
      <c r="U16" s="7"/>
      <c r="V16" s="7"/>
      <c r="W16" s="7"/>
      <c r="X16" s="7"/>
      <c r="Y16" s="7"/>
      <c r="Z16" s="7"/>
      <c r="AA16" s="7"/>
      <c r="KU16"/>
      <c r="KV16"/>
      <c r="KW16"/>
      <c r="KX16"/>
      <c r="KY16"/>
      <c r="KZ16"/>
      <c r="LA16"/>
      <c r="LB16"/>
    </row>
    <row r="17" spans="1:314" x14ac:dyDescent="0.25">
      <c r="A17" s="7"/>
      <c r="B17" s="97"/>
      <c r="C17" s="97"/>
      <c r="D17" s="167" t="s">
        <v>26</v>
      </c>
      <c r="E17" s="168" t="s">
        <v>26</v>
      </c>
      <c r="F17" s="168" t="s">
        <v>26</v>
      </c>
      <c r="G17" s="169" t="s">
        <v>26</v>
      </c>
      <c r="H17" s="95">
        <v>0</v>
      </c>
      <c r="I17" s="91">
        <v>0</v>
      </c>
      <c r="J17" s="183" t="s">
        <v>26</v>
      </c>
      <c r="K17" s="186" t="s">
        <v>26</v>
      </c>
      <c r="L17" s="170">
        <f t="shared" ref="L17:L29" si="0">IF(H17&gt;0,"Decimal2",0)</f>
        <v>0</v>
      </c>
      <c r="M17" s="92">
        <v>0</v>
      </c>
      <c r="N17" s="171">
        <f>IF(I17&gt;0,'Comm Calc'!G2*'Comm Calc'!H2,0)</f>
        <v>0</v>
      </c>
      <c r="O17" s="172">
        <v>0</v>
      </c>
      <c r="P17" s="173">
        <v>0</v>
      </c>
      <c r="Q17" s="170">
        <f>IF(N17&gt;0,1,0)</f>
        <v>0</v>
      </c>
      <c r="R17" s="168" t="s">
        <v>26</v>
      </c>
      <c r="S17" s="5"/>
      <c r="T17" s="7"/>
      <c r="U17" s="7"/>
      <c r="V17" s="7"/>
      <c r="W17" s="7"/>
      <c r="X17" s="7"/>
      <c r="Y17" s="7"/>
      <c r="Z17" s="7"/>
      <c r="AA17" s="7"/>
      <c r="KU17"/>
      <c r="KV17"/>
      <c r="KW17"/>
      <c r="KX17"/>
      <c r="KY17"/>
      <c r="KZ17"/>
      <c r="LA17"/>
      <c r="LB17"/>
    </row>
    <row r="18" spans="1:314" x14ac:dyDescent="0.25">
      <c r="A18" s="7"/>
      <c r="B18" s="97"/>
      <c r="C18" s="97"/>
      <c r="D18" s="88" t="s">
        <v>26</v>
      </c>
      <c r="E18" s="89" t="s">
        <v>26</v>
      </c>
      <c r="F18" s="89" t="s">
        <v>26</v>
      </c>
      <c r="G18" s="90" t="s">
        <v>26</v>
      </c>
      <c r="H18" s="95">
        <v>0</v>
      </c>
      <c r="I18" s="91">
        <v>0</v>
      </c>
      <c r="J18" s="184" t="s">
        <v>26</v>
      </c>
      <c r="K18" s="187" t="s">
        <v>26</v>
      </c>
      <c r="L18" s="170">
        <f t="shared" si="0"/>
        <v>0</v>
      </c>
      <c r="M18" s="92">
        <v>0</v>
      </c>
      <c r="N18" s="171">
        <f>IF(I18&gt;0,'Comm Calc'!G3*'Comm Calc'!H3,0)</f>
        <v>0</v>
      </c>
      <c r="O18" s="94">
        <v>0</v>
      </c>
      <c r="P18" s="93">
        <v>0</v>
      </c>
      <c r="Q18" s="170">
        <f>IF(N18&gt;0,2,0)</f>
        <v>0</v>
      </c>
      <c r="R18" s="89" t="s">
        <v>26</v>
      </c>
      <c r="S18" s="5"/>
      <c r="T18" s="7"/>
      <c r="U18" s="7"/>
      <c r="V18" s="7"/>
      <c r="W18" s="7"/>
      <c r="X18" s="7"/>
      <c r="Y18" s="7"/>
      <c r="Z18" s="7"/>
      <c r="AA18" s="7"/>
      <c r="KU18"/>
      <c r="KV18"/>
      <c r="KW18"/>
      <c r="KX18"/>
      <c r="KY18"/>
      <c r="KZ18"/>
      <c r="LA18"/>
      <c r="LB18"/>
    </row>
    <row r="19" spans="1:314" x14ac:dyDescent="0.25">
      <c r="A19" s="7"/>
      <c r="B19" s="97"/>
      <c r="C19" s="97"/>
      <c r="D19" s="88" t="s">
        <v>26</v>
      </c>
      <c r="E19" s="89" t="s">
        <v>26</v>
      </c>
      <c r="F19" s="89"/>
      <c r="G19" s="90" t="s">
        <v>26</v>
      </c>
      <c r="H19" s="95">
        <v>0</v>
      </c>
      <c r="I19" s="91">
        <v>0</v>
      </c>
      <c r="J19" s="184"/>
      <c r="K19" s="91" t="s">
        <v>26</v>
      </c>
      <c r="L19" s="170">
        <f t="shared" si="0"/>
        <v>0</v>
      </c>
      <c r="M19" s="92">
        <v>0</v>
      </c>
      <c r="N19" s="171">
        <f>IF(I19&gt;0,"='Comm Calc'!F4*'Comm Calc'!G4",0)</f>
        <v>0</v>
      </c>
      <c r="O19" s="94">
        <v>0</v>
      </c>
      <c r="P19" s="93">
        <v>0</v>
      </c>
      <c r="Q19" s="170">
        <f>IF(N19&gt;0,3,0)</f>
        <v>0</v>
      </c>
      <c r="R19" s="89"/>
      <c r="S19" s="5"/>
      <c r="T19" s="7"/>
      <c r="U19" s="7"/>
      <c r="V19" s="7"/>
      <c r="W19" s="7"/>
      <c r="X19" s="7"/>
      <c r="Y19" s="7"/>
      <c r="Z19" s="7"/>
      <c r="AA19" s="7"/>
      <c r="KU19"/>
      <c r="KV19"/>
      <c r="KW19"/>
      <c r="KX19"/>
      <c r="KY19"/>
      <c r="KZ19"/>
      <c r="LA19"/>
      <c r="LB19"/>
    </row>
    <row r="20" spans="1:314" x14ac:dyDescent="0.25">
      <c r="A20" s="7"/>
      <c r="B20" s="97"/>
      <c r="C20" s="97"/>
      <c r="D20" s="88" t="s">
        <v>26</v>
      </c>
      <c r="E20" s="89" t="s">
        <v>26</v>
      </c>
      <c r="F20" s="89"/>
      <c r="G20" s="90" t="s">
        <v>26</v>
      </c>
      <c r="H20" s="95">
        <v>0</v>
      </c>
      <c r="I20" s="91">
        <v>0</v>
      </c>
      <c r="J20" s="184"/>
      <c r="K20" s="91"/>
      <c r="L20" s="170">
        <f t="shared" si="0"/>
        <v>0</v>
      </c>
      <c r="M20" s="92">
        <v>0</v>
      </c>
      <c r="N20" s="171">
        <f>IF(I20&gt;0,"='Comm Calc'!F5*'Comm Calc'!G5",0)</f>
        <v>0</v>
      </c>
      <c r="O20" s="94">
        <v>0</v>
      </c>
      <c r="P20" s="93">
        <v>0</v>
      </c>
      <c r="Q20" s="170">
        <f>IF(N20&gt;0,4,0)</f>
        <v>0</v>
      </c>
      <c r="R20" s="89"/>
      <c r="S20" s="5"/>
      <c r="T20" s="7"/>
      <c r="U20" s="7"/>
      <c r="V20" s="7"/>
      <c r="W20" s="7"/>
      <c r="X20" s="7"/>
      <c r="Y20" s="7"/>
      <c r="Z20" s="7"/>
      <c r="AA20" s="7"/>
      <c r="KU20"/>
      <c r="KV20"/>
      <c r="KW20"/>
      <c r="KX20"/>
      <c r="KY20"/>
      <c r="KZ20"/>
      <c r="LA20"/>
      <c r="LB20"/>
    </row>
    <row r="21" spans="1:314" x14ac:dyDescent="0.25">
      <c r="A21" s="7"/>
      <c r="B21" s="97"/>
      <c r="C21" s="97"/>
      <c r="D21" s="88" t="s">
        <v>26</v>
      </c>
      <c r="E21" s="89" t="s">
        <v>26</v>
      </c>
      <c r="F21" s="89"/>
      <c r="G21" s="90" t="s">
        <v>26</v>
      </c>
      <c r="H21" s="95">
        <v>0</v>
      </c>
      <c r="I21" s="91">
        <v>0</v>
      </c>
      <c r="J21" s="184"/>
      <c r="K21" s="91"/>
      <c r="L21" s="170">
        <f t="shared" si="0"/>
        <v>0</v>
      </c>
      <c r="M21" s="92">
        <v>0</v>
      </c>
      <c r="N21" s="171">
        <f>IF(I21&gt;0,"='Comm Calc'!F6*'Comm Calc'!G6",0)</f>
        <v>0</v>
      </c>
      <c r="O21" s="94">
        <v>0</v>
      </c>
      <c r="P21" s="93">
        <v>0</v>
      </c>
      <c r="Q21" s="170">
        <f>IF(N21&gt;0,5,0)</f>
        <v>0</v>
      </c>
      <c r="R21" s="89"/>
      <c r="S21" s="5"/>
      <c r="T21" s="7"/>
      <c r="U21" s="7"/>
      <c r="V21" s="7"/>
      <c r="W21" s="7"/>
      <c r="X21" s="7"/>
      <c r="Y21" s="7"/>
      <c r="Z21" s="7"/>
      <c r="AA21" s="7"/>
      <c r="KU21"/>
      <c r="KV21"/>
      <c r="KW21"/>
      <c r="KX21"/>
      <c r="KY21"/>
      <c r="KZ21"/>
      <c r="LA21"/>
      <c r="LB21"/>
    </row>
    <row r="22" spans="1:314" x14ac:dyDescent="0.25">
      <c r="A22" s="7"/>
      <c r="B22" s="97"/>
      <c r="C22" s="97"/>
      <c r="D22" s="11" t="s">
        <v>26</v>
      </c>
      <c r="E22" s="1" t="s">
        <v>26</v>
      </c>
      <c r="F22" s="1"/>
      <c r="G22" s="17" t="s">
        <v>26</v>
      </c>
      <c r="H22" s="12">
        <v>0</v>
      </c>
      <c r="I22" s="13">
        <v>0</v>
      </c>
      <c r="J22" s="185"/>
      <c r="K22" s="13"/>
      <c r="L22" s="1">
        <f t="shared" si="0"/>
        <v>0</v>
      </c>
      <c r="M22" s="96">
        <v>0</v>
      </c>
      <c r="N22" s="14">
        <f>IF(I22&gt;0,'Comm Calc'!G7*'Comm Calc'!H7,0)</f>
        <v>0</v>
      </c>
      <c r="O22" s="16">
        <v>0</v>
      </c>
      <c r="P22" s="15">
        <v>0</v>
      </c>
      <c r="Q22" s="1">
        <f>IF(N22&gt;0,6,0)</f>
        <v>0</v>
      </c>
      <c r="R22" s="1"/>
      <c r="S22" s="97"/>
      <c r="T22" s="7"/>
      <c r="U22" s="7"/>
      <c r="V22" s="7"/>
      <c r="W22" s="7"/>
      <c r="X22" s="7"/>
      <c r="Y22" s="7"/>
      <c r="Z22" s="7"/>
      <c r="AA22" s="7"/>
      <c r="KU22"/>
      <c r="KV22"/>
      <c r="KW22"/>
      <c r="KX22"/>
      <c r="KY22"/>
      <c r="KZ22"/>
      <c r="LA22"/>
      <c r="LB22"/>
    </row>
    <row r="23" spans="1:314" x14ac:dyDescent="0.25">
      <c r="A23" s="7"/>
      <c r="B23" s="97"/>
      <c r="C23" s="97"/>
      <c r="D23" s="11" t="s">
        <v>26</v>
      </c>
      <c r="E23" s="1" t="s">
        <v>26</v>
      </c>
      <c r="F23" s="1"/>
      <c r="G23" s="17" t="s">
        <v>26</v>
      </c>
      <c r="H23" s="12">
        <v>0</v>
      </c>
      <c r="I23" s="13">
        <v>0</v>
      </c>
      <c r="J23" s="185"/>
      <c r="K23" s="13"/>
      <c r="L23" s="1">
        <f t="shared" si="0"/>
        <v>0</v>
      </c>
      <c r="M23" s="96">
        <v>0</v>
      </c>
      <c r="N23" s="14">
        <f>IF(I23&gt;0,'Comm Calc'!G8*'Comm Calc'!H8,0)</f>
        <v>0</v>
      </c>
      <c r="O23" s="16">
        <v>0</v>
      </c>
      <c r="P23" s="15">
        <v>0</v>
      </c>
      <c r="Q23" s="1">
        <f>IF(N23&gt;0,7,0)</f>
        <v>0</v>
      </c>
      <c r="R23" s="1"/>
      <c r="S23" s="97"/>
      <c r="T23" s="83"/>
      <c r="U23" s="7"/>
      <c r="V23" s="7"/>
      <c r="W23" s="7"/>
      <c r="X23" s="7"/>
      <c r="Y23" s="7"/>
      <c r="Z23" s="7"/>
      <c r="AA23" s="7"/>
      <c r="KU23"/>
      <c r="KV23"/>
      <c r="KW23"/>
      <c r="KX23"/>
      <c r="KY23"/>
      <c r="KZ23"/>
      <c r="LA23"/>
      <c r="LB23"/>
    </row>
    <row r="24" spans="1:314" x14ac:dyDescent="0.25">
      <c r="A24" s="7"/>
      <c r="B24" s="97"/>
      <c r="C24" s="97"/>
      <c r="D24" s="11" t="s">
        <v>26</v>
      </c>
      <c r="E24" s="1" t="s">
        <v>26</v>
      </c>
      <c r="F24" s="1"/>
      <c r="G24" s="17" t="s">
        <v>26</v>
      </c>
      <c r="H24" s="12">
        <v>0</v>
      </c>
      <c r="I24" s="13">
        <v>0</v>
      </c>
      <c r="J24" s="185"/>
      <c r="K24" s="13"/>
      <c r="L24" s="1">
        <f t="shared" si="0"/>
        <v>0</v>
      </c>
      <c r="M24" s="96">
        <v>0</v>
      </c>
      <c r="N24" s="14">
        <f>IF(I24&gt;0,'Comm Calc'!G9*'Comm Calc'!H9,0)</f>
        <v>0</v>
      </c>
      <c r="O24" s="16">
        <v>0</v>
      </c>
      <c r="P24" s="15">
        <v>0</v>
      </c>
      <c r="Q24" s="1">
        <f>IF(N24&gt;0,8,0)</f>
        <v>0</v>
      </c>
      <c r="R24" s="1"/>
      <c r="S24" s="97"/>
      <c r="T24" s="83"/>
      <c r="U24" s="7"/>
      <c r="V24" s="7"/>
      <c r="W24" s="7"/>
      <c r="X24" s="7"/>
      <c r="Y24" s="7"/>
      <c r="Z24" s="7"/>
      <c r="AA24" s="7"/>
      <c r="KU24"/>
      <c r="KV24"/>
      <c r="KW24"/>
      <c r="KX24"/>
      <c r="KY24"/>
      <c r="KZ24"/>
      <c r="LA24"/>
      <c r="LB24"/>
    </row>
    <row r="25" spans="1:314" x14ac:dyDescent="0.25">
      <c r="A25" s="7"/>
      <c r="B25" s="97"/>
      <c r="C25" s="97"/>
      <c r="D25" s="11" t="s">
        <v>26</v>
      </c>
      <c r="E25" s="1" t="s">
        <v>26</v>
      </c>
      <c r="F25" s="1"/>
      <c r="G25" s="17" t="s">
        <v>26</v>
      </c>
      <c r="H25" s="12">
        <v>0</v>
      </c>
      <c r="I25" s="13">
        <v>0</v>
      </c>
      <c r="J25" s="185"/>
      <c r="K25" s="13"/>
      <c r="L25" s="1">
        <f t="shared" si="0"/>
        <v>0</v>
      </c>
      <c r="M25" s="96">
        <v>0</v>
      </c>
      <c r="N25" s="14">
        <f>IF(I25&gt;0,'Comm Calc'!G10*'Comm Calc'!H10,0)</f>
        <v>0</v>
      </c>
      <c r="O25" s="16">
        <v>0</v>
      </c>
      <c r="P25" s="15">
        <v>0</v>
      </c>
      <c r="Q25" s="1">
        <f>IF(N25&gt;0,9,0)</f>
        <v>0</v>
      </c>
      <c r="R25" s="1"/>
      <c r="S25" s="97"/>
      <c r="T25" s="83"/>
      <c r="U25" s="7"/>
      <c r="V25" s="7"/>
      <c r="W25" s="7"/>
      <c r="X25" s="7"/>
      <c r="Y25" s="7"/>
      <c r="Z25" s="7"/>
      <c r="AA25" s="7"/>
      <c r="KU25"/>
      <c r="KV25"/>
      <c r="KW25"/>
      <c r="KX25"/>
      <c r="KY25"/>
      <c r="KZ25"/>
      <c r="LA25"/>
      <c r="LB25"/>
    </row>
    <row r="26" spans="1:314" x14ac:dyDescent="0.25">
      <c r="A26" s="7"/>
      <c r="B26" s="2"/>
      <c r="C26" s="2"/>
      <c r="D26" s="11" t="s">
        <v>26</v>
      </c>
      <c r="E26" s="1" t="s">
        <v>26</v>
      </c>
      <c r="F26" s="1"/>
      <c r="G26" s="17" t="s">
        <v>26</v>
      </c>
      <c r="H26" s="12">
        <v>0</v>
      </c>
      <c r="I26" s="13">
        <v>0</v>
      </c>
      <c r="J26" s="185"/>
      <c r="K26" s="13"/>
      <c r="L26" s="1">
        <f t="shared" si="0"/>
        <v>0</v>
      </c>
      <c r="M26" s="96">
        <v>0</v>
      </c>
      <c r="N26" s="14">
        <f>IF(I26&gt;0,'Comm Calc'!G11*'Comm Calc'!H11,0)</f>
        <v>0</v>
      </c>
      <c r="O26" s="16">
        <v>0</v>
      </c>
      <c r="P26" s="15">
        <v>0</v>
      </c>
      <c r="Q26" s="1">
        <f>IF(N26&gt;0,10,0)</f>
        <v>0</v>
      </c>
      <c r="R26" s="1"/>
      <c r="S26" s="2"/>
      <c r="T26" s="7"/>
      <c r="U26" s="7"/>
      <c r="V26" s="7"/>
      <c r="W26" s="7"/>
      <c r="X26" s="7"/>
      <c r="Y26" s="7"/>
      <c r="Z26" s="7"/>
      <c r="AA26" s="7"/>
      <c r="KU26"/>
      <c r="KV26"/>
      <c r="KW26"/>
      <c r="KX26"/>
      <c r="KY26"/>
      <c r="KZ26"/>
      <c r="LA26"/>
      <c r="LB26"/>
    </row>
    <row r="27" spans="1:314" x14ac:dyDescent="0.25">
      <c r="A27" s="7"/>
      <c r="B27" s="2"/>
      <c r="C27" s="2"/>
      <c r="D27" s="11" t="s">
        <v>26</v>
      </c>
      <c r="E27" s="1" t="s">
        <v>26</v>
      </c>
      <c r="F27" s="1"/>
      <c r="G27" s="17" t="s">
        <v>26</v>
      </c>
      <c r="H27" s="12">
        <v>0</v>
      </c>
      <c r="I27" s="13">
        <v>0</v>
      </c>
      <c r="J27" s="185"/>
      <c r="K27" s="13"/>
      <c r="L27" s="1">
        <f t="shared" si="0"/>
        <v>0</v>
      </c>
      <c r="M27" s="96">
        <v>0</v>
      </c>
      <c r="N27" s="14">
        <f>IF(I27&gt;0,'Comm Calc'!G12*'Comm Calc'!H12,0)</f>
        <v>0</v>
      </c>
      <c r="O27" s="16">
        <v>0</v>
      </c>
      <c r="P27" s="15">
        <v>0</v>
      </c>
      <c r="Q27" s="1">
        <f>IF(N27&gt;0,11,0)</f>
        <v>0</v>
      </c>
      <c r="R27" s="1"/>
      <c r="S27" s="2"/>
      <c r="T27" s="7"/>
      <c r="U27" s="7"/>
      <c r="V27" s="7"/>
      <c r="W27" s="7"/>
      <c r="X27" s="7"/>
      <c r="Y27" s="7"/>
      <c r="Z27" s="7"/>
      <c r="AA27" s="7"/>
      <c r="KU27"/>
      <c r="KV27"/>
      <c r="KW27"/>
      <c r="KX27"/>
      <c r="KY27"/>
      <c r="KZ27"/>
      <c r="LA27"/>
      <c r="LB27"/>
    </row>
    <row r="28" spans="1:314" x14ac:dyDescent="0.25">
      <c r="A28" s="7"/>
      <c r="B28" s="2"/>
      <c r="C28" s="2"/>
      <c r="D28" s="11" t="s">
        <v>26</v>
      </c>
      <c r="E28" s="1" t="s">
        <v>26</v>
      </c>
      <c r="F28" s="1"/>
      <c r="G28" s="17" t="s">
        <v>26</v>
      </c>
      <c r="H28" s="12">
        <v>0</v>
      </c>
      <c r="I28" s="13">
        <v>0</v>
      </c>
      <c r="J28" s="185"/>
      <c r="K28" s="13"/>
      <c r="L28" s="1">
        <f t="shared" si="0"/>
        <v>0</v>
      </c>
      <c r="M28" s="96">
        <v>0</v>
      </c>
      <c r="N28" s="14">
        <f>IF(I28&gt;0,'Comm Calc'!G13*'Comm Calc'!H13,0)</f>
        <v>0</v>
      </c>
      <c r="O28" s="16">
        <v>0</v>
      </c>
      <c r="P28" s="15">
        <v>0</v>
      </c>
      <c r="Q28" s="1">
        <f>IF(N28&gt;0,12,0)</f>
        <v>0</v>
      </c>
      <c r="R28" s="1"/>
      <c r="S28" s="2"/>
      <c r="T28" s="7"/>
      <c r="U28" s="7"/>
      <c r="V28" s="7"/>
      <c r="W28" s="7"/>
      <c r="X28" s="7"/>
      <c r="Y28" s="7"/>
      <c r="Z28" s="7"/>
      <c r="AA28" s="7"/>
      <c r="KU28"/>
      <c r="KV28"/>
      <c r="KW28"/>
      <c r="KX28"/>
      <c r="KY28"/>
      <c r="KZ28"/>
      <c r="LA28"/>
      <c r="LB28"/>
    </row>
    <row r="29" spans="1:314" x14ac:dyDescent="0.25">
      <c r="A29" s="7"/>
      <c r="B29" s="2"/>
      <c r="C29" s="2"/>
      <c r="D29" s="11" t="s">
        <v>26</v>
      </c>
      <c r="E29" s="1" t="s">
        <v>26</v>
      </c>
      <c r="F29" s="1"/>
      <c r="G29" s="17" t="s">
        <v>26</v>
      </c>
      <c r="H29" s="12">
        <v>0</v>
      </c>
      <c r="I29" s="13">
        <v>0</v>
      </c>
      <c r="J29" s="185"/>
      <c r="K29" s="13"/>
      <c r="L29" s="1">
        <f t="shared" si="0"/>
        <v>0</v>
      </c>
      <c r="M29" s="96">
        <v>0</v>
      </c>
      <c r="N29" s="14">
        <f>IF(I29&gt;0,'Comm Calc'!G14*'Comm Calc'!H14,0)</f>
        <v>0</v>
      </c>
      <c r="O29" s="16">
        <v>0</v>
      </c>
      <c r="P29" s="15">
        <v>0</v>
      </c>
      <c r="Q29" s="1">
        <f>IF(N29&gt;0,13,0)</f>
        <v>0</v>
      </c>
      <c r="R29" s="1"/>
      <c r="S29" s="2"/>
      <c r="T29" s="7"/>
      <c r="U29" s="7"/>
      <c r="V29" s="7"/>
      <c r="W29" s="7"/>
      <c r="X29" s="7"/>
      <c r="Y29" s="7"/>
      <c r="Z29" s="7"/>
      <c r="AA29" s="7"/>
      <c r="KU29"/>
      <c r="KV29"/>
      <c r="KW29"/>
      <c r="KX29"/>
      <c r="KY29"/>
      <c r="KZ29"/>
      <c r="LA29"/>
      <c r="LB29"/>
    </row>
    <row r="30" spans="1:314" x14ac:dyDescent="0.25">
      <c r="A30" s="7"/>
      <c r="B30" s="2"/>
      <c r="C30" s="2"/>
      <c r="D30" s="11" t="s">
        <v>26</v>
      </c>
      <c r="E30" s="1" t="s">
        <v>26</v>
      </c>
      <c r="F30" s="1"/>
      <c r="G30" s="17" t="s">
        <v>26</v>
      </c>
      <c r="H30" s="12">
        <v>0</v>
      </c>
      <c r="I30" s="13">
        <v>0</v>
      </c>
      <c r="J30" s="185"/>
      <c r="K30" s="13"/>
      <c r="L30" s="1">
        <f>IF(H30&gt;0,"Decimal2",0)</f>
        <v>0</v>
      </c>
      <c r="M30" s="96">
        <v>0</v>
      </c>
      <c r="N30" s="14">
        <f>IF(I30&gt;0,'Comm Calc'!G15*'Comm Calc'!H15,0)</f>
        <v>0</v>
      </c>
      <c r="O30" s="16">
        <v>0</v>
      </c>
      <c r="P30" s="15">
        <v>0</v>
      </c>
      <c r="Q30" s="1">
        <f>IF(N30&gt;0,14,0)</f>
        <v>0</v>
      </c>
      <c r="R30" s="1"/>
      <c r="S30" s="1"/>
      <c r="T30" s="1"/>
      <c r="U30" s="1"/>
      <c r="V30" s="1"/>
      <c r="W30" s="1"/>
      <c r="X30" s="1"/>
      <c r="Y30" s="2"/>
      <c r="Z30" s="7"/>
      <c r="AA30" s="7"/>
      <c r="LA30"/>
      <c r="LB30"/>
    </row>
    <row r="31" spans="1:314" x14ac:dyDescent="0.25">
      <c r="A31" s="2"/>
      <c r="B31" s="2"/>
      <c r="C31" s="2"/>
      <c r="D31" s="2"/>
      <c r="E31" s="2"/>
      <c r="F31" s="2"/>
      <c r="G31" s="4" t="s">
        <v>26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314" x14ac:dyDescent="0.25">
      <c r="A32" s="2"/>
      <c r="B32" s="2"/>
      <c r="C32" s="2"/>
      <c r="D32" s="2"/>
      <c r="E32" s="2"/>
      <c r="F32" s="2"/>
      <c r="G32" s="4" t="s">
        <v>26</v>
      </c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5">
      <c r="A33" s="2"/>
      <c r="B33" s="2"/>
      <c r="C33" s="2"/>
      <c r="D33" s="2"/>
      <c r="E33" s="2"/>
      <c r="F33" s="2"/>
      <c r="G33" s="4" t="s">
        <v>26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2"/>
      <c r="B34" s="2"/>
      <c r="C34" s="2"/>
      <c r="D34" s="2"/>
      <c r="E34" s="2"/>
      <c r="F34" s="2"/>
      <c r="G34" s="4" t="s">
        <v>26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2"/>
      <c r="B35" s="2"/>
      <c r="C35" s="2"/>
      <c r="D35" s="2"/>
      <c r="E35" s="2"/>
      <c r="F35" s="2"/>
      <c r="G35" s="4" t="s">
        <v>26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5">
      <c r="A36" s="2"/>
      <c r="B36" s="2"/>
      <c r="C36" s="2"/>
      <c r="D36" s="2"/>
      <c r="E36" s="2"/>
      <c r="F36" s="2"/>
      <c r="G36" s="4" t="s">
        <v>26</v>
      </c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5">
      <c r="A37" s="2"/>
      <c r="B37" s="2"/>
      <c r="C37" s="2"/>
      <c r="D37" s="2"/>
      <c r="E37" s="2"/>
      <c r="F37" s="2"/>
      <c r="G37" s="4" t="s">
        <v>26</v>
      </c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2"/>
      <c r="B38" s="2"/>
      <c r="C38" s="2"/>
      <c r="D38" s="2"/>
      <c r="E38" s="2"/>
      <c r="F38" s="2"/>
      <c r="G38" s="2" t="s">
        <v>26</v>
      </c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5">
      <c r="A46" s="2"/>
      <c r="B46" s="2"/>
      <c r="C46" s="2"/>
      <c r="D46" s="2"/>
      <c r="E46" s="2"/>
      <c r="F46" s="97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5">
      <c r="A47" s="2"/>
      <c r="B47" s="2"/>
      <c r="C47" s="2"/>
      <c r="D47" s="2"/>
      <c r="E47" s="2"/>
      <c r="F47" s="97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5">
      <c r="A48" s="2"/>
      <c r="B48" s="2"/>
      <c r="C48" s="2"/>
      <c r="D48" s="2"/>
      <c r="E48" s="2"/>
      <c r="F48" s="97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5">
      <c r="A49" s="2"/>
      <c r="B49" s="2"/>
      <c r="C49" s="2"/>
      <c r="D49" s="2"/>
      <c r="E49" s="2"/>
      <c r="F49" s="97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5">
      <c r="A50" s="2"/>
      <c r="B50" s="2"/>
      <c r="C50" s="2"/>
      <c r="D50" s="2"/>
      <c r="E50" s="2"/>
      <c r="F50" s="97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5">
      <c r="A51" s="2"/>
      <c r="B51" s="2"/>
      <c r="C51" s="2"/>
      <c r="D51" s="2"/>
      <c r="E51" s="2"/>
      <c r="F51" s="97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5">
      <c r="A52" s="2"/>
      <c r="B52" s="2"/>
      <c r="C52" s="2"/>
      <c r="D52" s="2"/>
      <c r="E52" s="2"/>
      <c r="F52" s="97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5">
      <c r="A53" s="2"/>
      <c r="B53" s="2"/>
      <c r="C53" s="2"/>
      <c r="D53" s="2"/>
      <c r="E53" s="2"/>
      <c r="F53" s="97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5">
      <c r="A66" s="2"/>
      <c r="B66" s="2"/>
      <c r="C66" s="2"/>
      <c r="D66" s="2"/>
      <c r="E66" s="2"/>
      <c r="F66" s="2" t="s">
        <v>11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5">
      <c r="A67" s="2"/>
      <c r="B67" s="2"/>
      <c r="C67" s="2"/>
      <c r="D67" s="2"/>
      <c r="E67" s="2"/>
      <c r="F67" s="2" t="s">
        <v>12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>
        <v>0</v>
      </c>
      <c r="V100" s="2"/>
      <c r="W100" s="2"/>
      <c r="X100" s="2"/>
      <c r="Y100" s="2"/>
      <c r="Z100" s="2"/>
      <c r="AA100" s="2"/>
    </row>
    <row r="101" spans="1:27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1:27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1:27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1:27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1:27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1:27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1:27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1:27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1:27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1:27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1:27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1:27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1:27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1:27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1:27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1:27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1:27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1:27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1:27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1:27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1:27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1:27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1:27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1:27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1:27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1:27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1:27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1:27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1:27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1:27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1:27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1:27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1:27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1:27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1:27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1:27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1:27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1:27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1:27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1:27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1:27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1:27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1:27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1:27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1:27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1:27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1:27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1:27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1:27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1:27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1:27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1:27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1:27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1:27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1:27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1:27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1:27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1:27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1:27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1:27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1:27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1:27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1:27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1:27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1:27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1:27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1:27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1:27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1:27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1:27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1:27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1:27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1:27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1:27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1:27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1:27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1:27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1:27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1:27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1:27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1:27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1:27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1:27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1:27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1:27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1:27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1:27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1:27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1:27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1:27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1:27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1:27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1:27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1:27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1:27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1:27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1:27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1:27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1:27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1:27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1:27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1:27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1:27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1:27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1:27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1:27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1:27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1:27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1:27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1:27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1:27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1:27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1:27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1:27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1:27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1:27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1:27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1:27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1:27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1:27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1:27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1:27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1:27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1:27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1:27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1:27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 t="s">
        <v>22</v>
      </c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1:27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 t="s">
        <v>20</v>
      </c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1:27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 t="s">
        <v>21</v>
      </c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1:27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 t="s">
        <v>23</v>
      </c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1:27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 t="s">
        <v>24</v>
      </c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</sheetData>
  <sheetProtection selectLockedCells="1"/>
  <customSheetViews>
    <customSheetView guid="{7BA6D571-1806-4D43-989A-7374A15C2E31}">
      <selection activeCell="E13" sqref="E13:F13"/>
      <pageMargins left="0.7" right="0.7" top="0.75" bottom="0.75" header="0.3" footer="0.3"/>
      <pageSetup orientation="portrait" r:id="rId1"/>
    </customSheetView>
  </customSheetViews>
  <mergeCells count="1">
    <mergeCell ref="M3:N3"/>
  </mergeCells>
  <conditionalFormatting sqref="Q8">
    <cfRule type="expression" dxfId="43" priority="4">
      <formula>"$F$19=""???"""</formula>
    </cfRule>
    <cfRule type="containsText" dxfId="42" priority="5" operator="containsText" text="SELL">
      <formula>NOT(ISERROR(SEARCH("SELL",Q8)))</formula>
    </cfRule>
    <cfRule type="containsText" dxfId="41" priority="6" operator="containsText" text="BUY">
      <formula>NOT(ISERROR(SEARCH("BUY",Q8)))</formula>
    </cfRule>
  </conditionalFormatting>
  <conditionalFormatting sqref="R30:X30 Q17:R22 R23:R29 Q23:Q30 D17:P30">
    <cfRule type="expression" dxfId="40" priority="7">
      <formula>$D17="??"</formula>
    </cfRule>
  </conditionalFormatting>
  <conditionalFormatting sqref="O8">
    <cfRule type="expression" dxfId="39" priority="1">
      <formula>"$F$19=""???"""</formula>
    </cfRule>
    <cfRule type="containsText" dxfId="38" priority="2" operator="containsText" text="SELL">
      <formula>NOT(ISERROR(SEARCH("SELL",O8)))</formula>
    </cfRule>
    <cfRule type="containsText" dxfId="37" priority="3" operator="containsText" text="BUY">
      <formula>NOT(ISERROR(SEARCH("BUY",O8)))</formula>
    </cfRule>
  </conditionalFormatting>
  <pageMargins left="0.7" right="0.7" top="0.75" bottom="0.75" header="0.3" footer="0.3"/>
  <pageSetup scale="1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5" name="Drop Down 15">
              <controlPr defaultSize="0" autoLine="0" autoPict="0">
                <anchor moveWithCells="1">
                  <from>
                    <xdr:col>9</xdr:col>
                    <xdr:colOff>514350</xdr:colOff>
                    <xdr:row>11</xdr:row>
                    <xdr:rowOff>190500</xdr:rowOff>
                  </from>
                  <to>
                    <xdr:col>11</xdr:col>
                    <xdr:colOff>190500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Option Button 24">
              <controlPr defaultSize="0" autoFill="0" autoLine="0" autoPict="0" macro="[0]!Emer">
                <anchor moveWithCells="1">
                  <from>
                    <xdr:col>8</xdr:col>
                    <xdr:colOff>352425</xdr:colOff>
                    <xdr:row>1</xdr:row>
                    <xdr:rowOff>9525</xdr:rowOff>
                  </from>
                  <to>
                    <xdr:col>9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Option Button 25">
              <controlPr defaultSize="0" autoFill="0" autoLine="0" autoPict="0" macro="[0]!Corp">
                <anchor moveWithCells="1">
                  <from>
                    <xdr:col>8</xdr:col>
                    <xdr:colOff>419100</xdr:colOff>
                    <xdr:row>2</xdr:row>
                    <xdr:rowOff>85725</xdr:rowOff>
                  </from>
                  <to>
                    <xdr:col>9</xdr:col>
                    <xdr:colOff>457200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Option Button 26">
              <controlPr defaultSize="0" autoFill="0" autoLine="0" autoPict="0" macro="[0]!Govys">
                <anchor moveWithCells="1">
                  <from>
                    <xdr:col>8</xdr:col>
                    <xdr:colOff>447675</xdr:colOff>
                    <xdr:row>3</xdr:row>
                    <xdr:rowOff>161925</xdr:rowOff>
                  </from>
                  <to>
                    <xdr:col>9</xdr:col>
                    <xdr:colOff>485775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9" name="OK/SAVE">
              <controlPr defaultSize="0" print="0" autoFill="0" autoPict="0" macro="[0]!Test2">
                <anchor moveWithCells="1" sizeWithCells="1">
                  <from>
                    <xdr:col>4</xdr:col>
                    <xdr:colOff>0</xdr:colOff>
                    <xdr:row>30</xdr:row>
                    <xdr:rowOff>142875</xdr:rowOff>
                  </from>
                  <to>
                    <xdr:col>6</xdr:col>
                    <xdr:colOff>314325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0" name="Button 78">
              <controlPr defaultSize="0" print="0" autoFill="0" autoPict="0" macro="[0]!AP">
                <anchor moveWithCells="1" sizeWithCells="1">
                  <from>
                    <xdr:col>16</xdr:col>
                    <xdr:colOff>285750</xdr:colOff>
                    <xdr:row>30</xdr:row>
                    <xdr:rowOff>123825</xdr:rowOff>
                  </from>
                  <to>
                    <xdr:col>18</xdr:col>
                    <xdr:colOff>104775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1" name="Button 79">
              <controlPr defaultSize="0" print="0" autoFill="0" autoPict="0" macro="[0]!Corp">
                <anchor moveWithCells="1" sizeWithCells="1">
                  <from>
                    <xdr:col>12</xdr:col>
                    <xdr:colOff>9525</xdr:colOff>
                    <xdr:row>30</xdr:row>
                    <xdr:rowOff>152400</xdr:rowOff>
                  </from>
                  <to>
                    <xdr:col>13</xdr:col>
                    <xdr:colOff>333375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12" name="Option Button 96">
              <controlPr defaultSize="0" autoFill="0" autoLine="0" autoPict="0" macro="[0]!AllLines">
                <anchor moveWithCells="1">
                  <from>
                    <xdr:col>8</xdr:col>
                    <xdr:colOff>133350</xdr:colOff>
                    <xdr:row>5</xdr:row>
                    <xdr:rowOff>180975</xdr:rowOff>
                  </from>
                  <to>
                    <xdr:col>10</xdr:col>
                    <xdr:colOff>38100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3" name="Option Button 100">
              <controlPr defaultSize="0" autoFill="0" autoLine="0" autoPict="0" macro="[0]!FiveLines">
                <anchor moveWithCells="1">
                  <from>
                    <xdr:col>8</xdr:col>
                    <xdr:colOff>257175</xdr:colOff>
                    <xdr:row>7</xdr:row>
                    <xdr:rowOff>57150</xdr:rowOff>
                  </from>
                  <to>
                    <xdr:col>9</xdr:col>
                    <xdr:colOff>600075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4" name="Button 101">
              <controlPr defaultSize="0" print="0" autoFill="0" autoPict="0" macro="[0]!Test2">
                <anchor moveWithCells="1" sizeWithCells="1">
                  <from>
                    <xdr:col>4</xdr:col>
                    <xdr:colOff>0</xdr:colOff>
                    <xdr:row>30</xdr:row>
                    <xdr:rowOff>142875</xdr:rowOff>
                  </from>
                  <to>
                    <xdr:col>6</xdr:col>
                    <xdr:colOff>314325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5" name="Button 102">
              <controlPr defaultSize="0" print="0" autoFill="0" autoPict="0" macro="[0]!AP">
                <anchor moveWithCells="1" sizeWithCells="1">
                  <from>
                    <xdr:col>16</xdr:col>
                    <xdr:colOff>285750</xdr:colOff>
                    <xdr:row>30</xdr:row>
                    <xdr:rowOff>123825</xdr:rowOff>
                  </from>
                  <to>
                    <xdr:col>18</xdr:col>
                    <xdr:colOff>104775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6" name="Button 103">
              <controlPr defaultSize="0" print="0" autoFill="0" autoPict="0" macro="[0]!Corp">
                <anchor moveWithCells="1" sizeWithCells="1">
                  <from>
                    <xdr:col>12</xdr:col>
                    <xdr:colOff>9525</xdr:colOff>
                    <xdr:row>30</xdr:row>
                    <xdr:rowOff>152400</xdr:rowOff>
                  </from>
                  <to>
                    <xdr:col>13</xdr:col>
                    <xdr:colOff>333375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7" name="Button 104">
              <controlPr defaultSize="0" print="0" autoFill="0" autoPict="0" macro="[0]!Test2">
                <anchor moveWithCells="1" sizeWithCells="1">
                  <from>
                    <xdr:col>4</xdr:col>
                    <xdr:colOff>0</xdr:colOff>
                    <xdr:row>30</xdr:row>
                    <xdr:rowOff>142875</xdr:rowOff>
                  </from>
                  <to>
                    <xdr:col>6</xdr:col>
                    <xdr:colOff>314325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8" name="Button 105">
              <controlPr defaultSize="0" print="0" autoFill="0" autoPict="0" macro="[0]!AP">
                <anchor moveWithCells="1" sizeWithCells="1">
                  <from>
                    <xdr:col>16</xdr:col>
                    <xdr:colOff>285750</xdr:colOff>
                    <xdr:row>30</xdr:row>
                    <xdr:rowOff>123825</xdr:rowOff>
                  </from>
                  <to>
                    <xdr:col>18</xdr:col>
                    <xdr:colOff>104775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9" name="Button 106">
              <controlPr defaultSize="0" print="0" autoFill="0" autoPict="0" macro="[0]!Corp">
                <anchor moveWithCells="1" sizeWithCells="1">
                  <from>
                    <xdr:col>12</xdr:col>
                    <xdr:colOff>9525</xdr:colOff>
                    <xdr:row>30</xdr:row>
                    <xdr:rowOff>152400</xdr:rowOff>
                  </from>
                  <to>
                    <xdr:col>13</xdr:col>
                    <xdr:colOff>333375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0" name="Button 107">
              <controlPr defaultSize="0" print="0" autoFill="0" autoPict="0" macro="[0]!Test2">
                <anchor moveWithCells="1" sizeWithCells="1">
                  <from>
                    <xdr:col>4</xdr:col>
                    <xdr:colOff>0</xdr:colOff>
                    <xdr:row>30</xdr:row>
                    <xdr:rowOff>142875</xdr:rowOff>
                  </from>
                  <to>
                    <xdr:col>6</xdr:col>
                    <xdr:colOff>314325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1" name="Button 108">
              <controlPr defaultSize="0" print="0" autoFill="0" autoPict="0" macro="[0]!AP">
                <anchor moveWithCells="1" sizeWithCells="1">
                  <from>
                    <xdr:col>16</xdr:col>
                    <xdr:colOff>285750</xdr:colOff>
                    <xdr:row>30</xdr:row>
                    <xdr:rowOff>123825</xdr:rowOff>
                  </from>
                  <to>
                    <xdr:col>18</xdr:col>
                    <xdr:colOff>104775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2" name="Button 109">
              <controlPr defaultSize="0" print="0" autoFill="0" autoPict="0" macro="[0]!Corp">
                <anchor moveWithCells="1" sizeWithCells="1">
                  <from>
                    <xdr:col>12</xdr:col>
                    <xdr:colOff>9525</xdr:colOff>
                    <xdr:row>30</xdr:row>
                    <xdr:rowOff>152400</xdr:rowOff>
                  </from>
                  <to>
                    <xdr:col>13</xdr:col>
                    <xdr:colOff>333375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3" name="Button 110">
              <controlPr defaultSize="0" print="0" autoFill="0" autoPict="0" macro="[0]!OKSAVE">
                <anchor moveWithCells="1" sizeWithCells="1">
                  <from>
                    <xdr:col>4</xdr:col>
                    <xdr:colOff>0</xdr:colOff>
                    <xdr:row>30</xdr:row>
                    <xdr:rowOff>142875</xdr:rowOff>
                  </from>
                  <to>
                    <xdr:col>6</xdr:col>
                    <xdr:colOff>314325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4" name="Button 111">
              <controlPr defaultSize="0" print="0" autoFill="0" autoPict="0" macro="[0]!AP">
                <anchor moveWithCells="1" sizeWithCells="1">
                  <from>
                    <xdr:col>16</xdr:col>
                    <xdr:colOff>285750</xdr:colOff>
                    <xdr:row>30</xdr:row>
                    <xdr:rowOff>123825</xdr:rowOff>
                  </from>
                  <to>
                    <xdr:col>18</xdr:col>
                    <xdr:colOff>104775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5" name="Button 112">
              <controlPr defaultSize="0" print="0" autoFill="0" autoPict="0" macro="[0]!Corp">
                <anchor moveWithCells="1" sizeWithCells="1">
                  <from>
                    <xdr:col>12</xdr:col>
                    <xdr:colOff>9525</xdr:colOff>
                    <xdr:row>30</xdr:row>
                    <xdr:rowOff>152400</xdr:rowOff>
                  </from>
                  <to>
                    <xdr:col>13</xdr:col>
                    <xdr:colOff>333375</xdr:colOff>
                    <xdr:row>32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span" xr2:uid="{00000000-0003-0000-00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'Data Entry'!O4:O4</xm:f>
              <xm:sqref>P4</xm:sqref>
            </x14:sparkline>
            <x14:sparkline>
              <xm:f>'Data Entry'!O5:O5</xm:f>
              <xm:sqref>P5</xm:sqref>
            </x14:sparkline>
          </x14:sparklines>
        </x14:sparklineGroup>
        <x14:sparklineGroup manualMax="0" manualMin="0" type="column" displayEmptyCellsAs="span" xr2:uid="{00000000-0003-0000-00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'Data Entry'!M4:M4</xm:f>
              <xm:sqref>N4</xm:sqref>
            </x14:sparkline>
            <x14:sparkline>
              <xm:f>'Data Entry'!M5:M5</xm:f>
              <xm:sqref>N5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CS155"/>
  <sheetViews>
    <sheetView showZeros="0" workbookViewId="0">
      <selection activeCell="D3" sqref="D3"/>
    </sheetView>
  </sheetViews>
  <sheetFormatPr defaultRowHeight="15" x14ac:dyDescent="0.25"/>
  <cols>
    <col min="2" max="2" width="7.85546875" customWidth="1"/>
    <col min="3" max="3" width="10.7109375" customWidth="1"/>
    <col min="7" max="7" width="11.5703125" customWidth="1"/>
    <col min="8" max="8" width="11.42578125" customWidth="1"/>
    <col min="10" max="10" width="13" customWidth="1"/>
    <col min="12" max="12" width="10.7109375" customWidth="1"/>
    <col min="13" max="97" width="9.140625" style="8"/>
  </cols>
  <sheetData>
    <row r="1" spans="1:12" ht="15.75" thickBot="1" x14ac:dyDescent="0.3">
      <c r="A1" s="221" t="s">
        <v>73</v>
      </c>
      <c r="B1" s="222"/>
      <c r="C1" s="244">
        <v>2</v>
      </c>
      <c r="D1" s="245" t="s">
        <v>74</v>
      </c>
      <c r="E1" s="223" t="s">
        <v>92</v>
      </c>
      <c r="F1" s="224">
        <v>3.25</v>
      </c>
      <c r="G1" s="225">
        <v>54424</v>
      </c>
      <c r="H1" s="226" t="s">
        <v>75</v>
      </c>
      <c r="I1" s="222" t="s">
        <v>93</v>
      </c>
      <c r="J1" s="227"/>
      <c r="K1" s="213"/>
      <c r="L1" s="214"/>
    </row>
    <row r="2" spans="1:12" ht="15.75" thickBot="1" x14ac:dyDescent="0.3">
      <c r="A2" s="228"/>
      <c r="B2" s="34"/>
      <c r="C2" s="151"/>
      <c r="D2" s="209"/>
      <c r="E2" s="9"/>
      <c r="F2" s="229"/>
      <c r="G2" s="101"/>
      <c r="H2" s="220"/>
      <c r="I2" s="219"/>
      <c r="J2" s="28"/>
      <c r="K2" s="28"/>
      <c r="L2" s="215"/>
    </row>
    <row r="3" spans="1:12" ht="15.75" thickBot="1" x14ac:dyDescent="0.3">
      <c r="A3" s="221" t="s">
        <v>94</v>
      </c>
      <c r="B3" s="222"/>
      <c r="C3" s="223" t="s">
        <v>27</v>
      </c>
      <c r="D3" s="232"/>
      <c r="E3" s="100"/>
      <c r="F3" s="221" t="s">
        <v>76</v>
      </c>
      <c r="G3" s="222"/>
      <c r="H3" s="230">
        <v>43027</v>
      </c>
      <c r="I3" s="230"/>
      <c r="J3" s="221" t="s">
        <v>78</v>
      </c>
      <c r="K3" s="222"/>
      <c r="L3" s="231">
        <v>43031</v>
      </c>
    </row>
    <row r="4" spans="1:12" x14ac:dyDescent="0.25">
      <c r="A4" s="217"/>
      <c r="B4" s="104" t="s">
        <v>26</v>
      </c>
      <c r="C4" s="107">
        <v>0</v>
      </c>
      <c r="D4" s="212">
        <v>0</v>
      </c>
      <c r="E4" s="102"/>
      <c r="F4" s="102"/>
      <c r="G4" s="103"/>
      <c r="H4" s="102"/>
      <c r="I4" s="9"/>
      <c r="J4" s="102"/>
      <c r="K4" s="102"/>
      <c r="L4" s="216"/>
    </row>
    <row r="5" spans="1:12" x14ac:dyDescent="0.25">
      <c r="A5" s="217"/>
      <c r="B5" s="104" t="s">
        <v>26</v>
      </c>
      <c r="C5" s="106">
        <v>0</v>
      </c>
      <c r="D5" s="212">
        <v>0</v>
      </c>
      <c r="E5" s="28"/>
      <c r="F5" s="107"/>
      <c r="G5" s="28"/>
      <c r="H5" s="28"/>
      <c r="I5" s="28"/>
      <c r="J5" s="99" t="s">
        <v>26</v>
      </c>
      <c r="K5" s="309" t="s">
        <v>26</v>
      </c>
      <c r="L5" s="310"/>
    </row>
    <row r="6" spans="1:12" ht="15.75" thickBot="1" x14ac:dyDescent="0.3">
      <c r="A6" s="217"/>
      <c r="B6" s="104"/>
      <c r="C6" s="106">
        <v>0</v>
      </c>
      <c r="D6" s="212">
        <v>0</v>
      </c>
      <c r="E6" s="28"/>
      <c r="F6" s="107"/>
      <c r="G6" s="28"/>
      <c r="H6" s="28"/>
      <c r="I6" s="28"/>
      <c r="J6" s="99"/>
      <c r="K6" s="148"/>
      <c r="L6" s="306"/>
    </row>
    <row r="7" spans="1:12" ht="15.75" thickBot="1" x14ac:dyDescent="0.3">
      <c r="A7" s="304" t="s">
        <v>96</v>
      </c>
      <c r="B7" s="240" t="s">
        <v>97</v>
      </c>
      <c r="C7" s="243" t="s">
        <v>98</v>
      </c>
      <c r="D7" s="243" t="s">
        <v>1</v>
      </c>
      <c r="E7" s="240" t="s">
        <v>45</v>
      </c>
      <c r="F7" s="239" t="s">
        <v>46</v>
      </c>
      <c r="G7" s="311" t="s">
        <v>79</v>
      </c>
      <c r="H7" s="311"/>
      <c r="I7" s="239" t="s">
        <v>6</v>
      </c>
      <c r="J7" s="239" t="s">
        <v>7</v>
      </c>
      <c r="K7" s="242" t="s">
        <v>9</v>
      </c>
      <c r="L7" s="241" t="s">
        <v>99</v>
      </c>
    </row>
    <row r="8" spans="1:12" x14ac:dyDescent="0.25">
      <c r="A8" s="217"/>
      <c r="B8" s="28"/>
      <c r="C8" s="28"/>
      <c r="D8" s="149"/>
      <c r="E8" s="28"/>
      <c r="F8" s="28"/>
      <c r="G8" s="211"/>
      <c r="H8" s="149"/>
      <c r="I8" s="56"/>
      <c r="J8" s="210"/>
      <c r="K8" s="28"/>
      <c r="L8" s="233"/>
    </row>
    <row r="9" spans="1:12" x14ac:dyDescent="0.25">
      <c r="A9" s="217"/>
      <c r="B9" s="28"/>
      <c r="C9" s="28"/>
      <c r="D9" s="149"/>
      <c r="E9" s="28"/>
      <c r="F9" s="28"/>
      <c r="G9" s="211"/>
      <c r="H9" s="149"/>
      <c r="I9" s="56"/>
      <c r="J9" s="210"/>
      <c r="K9" s="28"/>
      <c r="L9" s="233"/>
    </row>
    <row r="10" spans="1:12" x14ac:dyDescent="0.25">
      <c r="A10" s="217" t="s">
        <v>26</v>
      </c>
      <c r="B10" s="28" t="s">
        <v>26</v>
      </c>
      <c r="C10" s="28" t="s">
        <v>26</v>
      </c>
      <c r="D10" s="149">
        <v>0</v>
      </c>
      <c r="E10" s="28">
        <v>0</v>
      </c>
      <c r="F10" s="28">
        <v>0</v>
      </c>
      <c r="G10" s="211" t="s">
        <v>26</v>
      </c>
      <c r="H10" s="149">
        <v>0</v>
      </c>
      <c r="I10" s="56">
        <v>0</v>
      </c>
      <c r="J10" s="210">
        <v>0</v>
      </c>
      <c r="K10" s="28">
        <v>0</v>
      </c>
      <c r="L10" s="233">
        <v>0</v>
      </c>
    </row>
    <row r="11" spans="1:12" x14ac:dyDescent="0.25">
      <c r="A11" s="217" t="s">
        <v>26</v>
      </c>
      <c r="B11" s="28" t="s">
        <v>26</v>
      </c>
      <c r="C11" s="28" t="s">
        <v>26</v>
      </c>
      <c r="D11" s="149">
        <v>0</v>
      </c>
      <c r="E11" s="28">
        <v>0</v>
      </c>
      <c r="F11" s="28">
        <v>0</v>
      </c>
      <c r="G11" s="211">
        <v>0</v>
      </c>
      <c r="H11" s="149">
        <v>0</v>
      </c>
      <c r="I11" s="56">
        <v>0</v>
      </c>
      <c r="J11" s="210">
        <v>0</v>
      </c>
      <c r="K11" s="28">
        <v>0</v>
      </c>
      <c r="L11" s="233">
        <v>0</v>
      </c>
    </row>
    <row r="12" spans="1:12" x14ac:dyDescent="0.25">
      <c r="A12" s="217" t="s">
        <v>26</v>
      </c>
      <c r="B12" s="28" t="s">
        <v>26</v>
      </c>
      <c r="C12" s="28" t="s">
        <v>26</v>
      </c>
      <c r="D12" s="149">
        <v>0</v>
      </c>
      <c r="E12" s="28">
        <v>0</v>
      </c>
      <c r="F12" s="28">
        <v>0</v>
      </c>
      <c r="G12" s="211">
        <v>0</v>
      </c>
      <c r="H12" s="149">
        <v>0</v>
      </c>
      <c r="I12" s="56">
        <v>0</v>
      </c>
      <c r="J12" s="210">
        <v>0</v>
      </c>
      <c r="K12" s="28">
        <v>0</v>
      </c>
      <c r="L12" s="233">
        <v>0</v>
      </c>
    </row>
    <row r="13" spans="1:12" x14ac:dyDescent="0.25">
      <c r="A13" s="217" t="s">
        <v>26</v>
      </c>
      <c r="B13" s="28" t="s">
        <v>26</v>
      </c>
      <c r="C13" s="28" t="s">
        <v>26</v>
      </c>
      <c r="D13" s="149">
        <v>0</v>
      </c>
      <c r="E13" s="28">
        <v>0</v>
      </c>
      <c r="F13" s="28">
        <v>0</v>
      </c>
      <c r="G13" s="211">
        <v>0</v>
      </c>
      <c r="H13" s="149">
        <v>0</v>
      </c>
      <c r="I13" s="56">
        <v>0</v>
      </c>
      <c r="J13" s="210">
        <v>0</v>
      </c>
      <c r="K13" s="28">
        <v>0</v>
      </c>
      <c r="L13" s="233">
        <v>0</v>
      </c>
    </row>
    <row r="14" spans="1:12" x14ac:dyDescent="0.25">
      <c r="A14" s="217" t="s">
        <v>26</v>
      </c>
      <c r="B14" s="28" t="s">
        <v>26</v>
      </c>
      <c r="C14" s="28" t="s">
        <v>26</v>
      </c>
      <c r="D14" s="149">
        <v>0</v>
      </c>
      <c r="E14" s="28">
        <v>0</v>
      </c>
      <c r="F14" s="28">
        <v>0</v>
      </c>
      <c r="G14" s="211">
        <v>0</v>
      </c>
      <c r="H14" s="149">
        <v>0</v>
      </c>
      <c r="I14" s="56">
        <v>0</v>
      </c>
      <c r="J14" s="210">
        <v>0</v>
      </c>
      <c r="K14" s="28">
        <v>0</v>
      </c>
      <c r="L14" s="233">
        <v>0</v>
      </c>
    </row>
    <row r="15" spans="1:12" x14ac:dyDescent="0.25">
      <c r="A15" s="217" t="s">
        <v>26</v>
      </c>
      <c r="B15" s="28" t="s">
        <v>26</v>
      </c>
      <c r="C15" s="28" t="s">
        <v>26</v>
      </c>
      <c r="D15" s="149">
        <v>0</v>
      </c>
      <c r="E15" s="28">
        <v>0</v>
      </c>
      <c r="F15" s="28">
        <v>0</v>
      </c>
      <c r="G15" s="211">
        <v>0</v>
      </c>
      <c r="H15" s="149">
        <v>0</v>
      </c>
      <c r="I15" s="56">
        <v>0</v>
      </c>
      <c r="J15" s="210">
        <v>0</v>
      </c>
      <c r="K15" s="28">
        <v>0</v>
      </c>
      <c r="L15" s="233">
        <v>0</v>
      </c>
    </row>
    <row r="16" spans="1:12" x14ac:dyDescent="0.25">
      <c r="A16" s="217" t="s">
        <v>26</v>
      </c>
      <c r="B16" s="28" t="s">
        <v>26</v>
      </c>
      <c r="C16" s="28" t="s">
        <v>26</v>
      </c>
      <c r="D16" s="149">
        <v>0</v>
      </c>
      <c r="E16" s="28">
        <v>0</v>
      </c>
      <c r="F16" s="28">
        <v>0</v>
      </c>
      <c r="G16" s="211">
        <v>0</v>
      </c>
      <c r="H16" s="149">
        <v>0</v>
      </c>
      <c r="I16" s="56">
        <v>0</v>
      </c>
      <c r="J16" s="210">
        <v>0</v>
      </c>
      <c r="K16" s="28">
        <v>0</v>
      </c>
      <c r="L16" s="233">
        <v>0</v>
      </c>
    </row>
    <row r="17" spans="1:12" x14ac:dyDescent="0.25">
      <c r="A17" s="217" t="s">
        <v>26</v>
      </c>
      <c r="B17" s="28" t="s">
        <v>26</v>
      </c>
      <c r="C17" s="28" t="s">
        <v>26</v>
      </c>
      <c r="D17" s="149">
        <v>0</v>
      </c>
      <c r="E17" s="28">
        <v>0</v>
      </c>
      <c r="F17" s="28">
        <v>0</v>
      </c>
      <c r="G17" s="211">
        <v>0</v>
      </c>
      <c r="H17" s="149">
        <v>0</v>
      </c>
      <c r="I17" s="56">
        <v>0</v>
      </c>
      <c r="J17" s="210">
        <v>0</v>
      </c>
      <c r="K17" s="28">
        <v>0</v>
      </c>
      <c r="L17" s="233">
        <v>0</v>
      </c>
    </row>
    <row r="18" spans="1:12" x14ac:dyDescent="0.25">
      <c r="A18" s="217" t="s">
        <v>26</v>
      </c>
      <c r="B18" s="28" t="s">
        <v>26</v>
      </c>
      <c r="C18" s="28" t="s">
        <v>26</v>
      </c>
      <c r="D18" s="149">
        <v>0</v>
      </c>
      <c r="E18" s="28">
        <v>0</v>
      </c>
      <c r="F18" s="28">
        <v>0</v>
      </c>
      <c r="G18" s="211">
        <v>0</v>
      </c>
      <c r="H18" s="149">
        <v>0</v>
      </c>
      <c r="I18" s="56">
        <v>0</v>
      </c>
      <c r="J18" s="210">
        <v>0</v>
      </c>
      <c r="K18" s="28">
        <v>0</v>
      </c>
      <c r="L18" s="233">
        <v>0</v>
      </c>
    </row>
    <row r="19" spans="1:12" x14ac:dyDescent="0.25">
      <c r="A19" s="217" t="s">
        <v>26</v>
      </c>
      <c r="B19" s="28" t="s">
        <v>26</v>
      </c>
      <c r="C19" s="28" t="s">
        <v>26</v>
      </c>
      <c r="D19" s="149">
        <v>0</v>
      </c>
      <c r="E19" s="28">
        <v>0</v>
      </c>
      <c r="F19" s="28">
        <v>0</v>
      </c>
      <c r="G19" s="211">
        <v>0</v>
      </c>
      <c r="H19" s="149">
        <v>0</v>
      </c>
      <c r="I19" s="56">
        <v>0</v>
      </c>
      <c r="J19" s="210">
        <v>0</v>
      </c>
      <c r="K19" s="28">
        <v>0</v>
      </c>
      <c r="L19" s="233">
        <v>0</v>
      </c>
    </row>
    <row r="20" spans="1:12" x14ac:dyDescent="0.25">
      <c r="A20" s="217" t="s">
        <v>26</v>
      </c>
      <c r="B20" s="28" t="s">
        <v>26</v>
      </c>
      <c r="C20" s="28" t="s">
        <v>26</v>
      </c>
      <c r="D20" s="149">
        <v>0</v>
      </c>
      <c r="E20" s="28">
        <v>0</v>
      </c>
      <c r="F20" s="28">
        <v>0</v>
      </c>
      <c r="G20" s="211">
        <v>0</v>
      </c>
      <c r="H20" s="149">
        <v>0</v>
      </c>
      <c r="I20" s="56">
        <v>0</v>
      </c>
      <c r="J20" s="210">
        <v>0</v>
      </c>
      <c r="K20" s="28">
        <v>0</v>
      </c>
      <c r="L20" s="233">
        <v>0</v>
      </c>
    </row>
    <row r="21" spans="1:12" ht="15.75" thickBot="1" x14ac:dyDescent="0.3">
      <c r="A21" s="218" t="s">
        <v>26</v>
      </c>
      <c r="B21" s="234" t="s">
        <v>26</v>
      </c>
      <c r="C21" s="234" t="s">
        <v>26</v>
      </c>
      <c r="D21" s="236">
        <v>0</v>
      </c>
      <c r="E21" s="234">
        <v>0</v>
      </c>
      <c r="F21" s="234">
        <v>0</v>
      </c>
      <c r="G21" s="235">
        <v>0</v>
      </c>
      <c r="H21" s="236">
        <v>0</v>
      </c>
      <c r="I21" s="305">
        <v>0</v>
      </c>
      <c r="J21" s="237">
        <v>0</v>
      </c>
      <c r="K21" s="234">
        <v>0</v>
      </c>
      <c r="L21" s="238">
        <v>0</v>
      </c>
    </row>
    <row r="22" spans="1:12" ht="15.75" thickBot="1" x14ac:dyDescent="0.3">
      <c r="A22" s="221" t="s">
        <v>73</v>
      </c>
      <c r="B22" s="222"/>
      <c r="C22" s="244">
        <v>2</v>
      </c>
      <c r="D22" s="245" t="s">
        <v>74</v>
      </c>
      <c r="E22" s="223" t="s">
        <v>92</v>
      </c>
      <c r="F22" s="224">
        <v>3.25</v>
      </c>
      <c r="G22" s="225">
        <v>54424</v>
      </c>
      <c r="H22" s="226" t="s">
        <v>75</v>
      </c>
      <c r="I22" s="222" t="s">
        <v>93</v>
      </c>
      <c r="J22" s="227"/>
      <c r="K22" s="213"/>
      <c r="L22" s="214"/>
    </row>
    <row r="23" spans="1:12" ht="15.75" thickBot="1" x14ac:dyDescent="0.3">
      <c r="A23" s="228"/>
      <c r="B23" s="34"/>
      <c r="C23" s="151"/>
      <c r="D23" s="209"/>
      <c r="E23" s="9"/>
      <c r="F23" s="229"/>
      <c r="G23" s="101"/>
      <c r="H23" s="220"/>
      <c r="I23" s="219"/>
      <c r="J23" s="28"/>
      <c r="K23" s="28"/>
      <c r="L23" s="215"/>
    </row>
    <row r="24" spans="1:12" ht="15.75" thickBot="1" x14ac:dyDescent="0.3">
      <c r="A24" s="221" t="s">
        <v>94</v>
      </c>
      <c r="B24" s="222"/>
      <c r="C24" s="223" t="s">
        <v>27</v>
      </c>
      <c r="D24" s="232">
        <v>3125</v>
      </c>
      <c r="E24" s="100"/>
      <c r="F24" s="221" t="s">
        <v>76</v>
      </c>
      <c r="G24" s="222"/>
      <c r="H24" s="230">
        <v>43027</v>
      </c>
      <c r="I24" s="230"/>
      <c r="J24" s="221" t="s">
        <v>78</v>
      </c>
      <c r="K24" s="222"/>
      <c r="L24" s="231">
        <v>43031</v>
      </c>
    </row>
    <row r="25" spans="1:12" x14ac:dyDescent="0.25">
      <c r="A25" s="217"/>
      <c r="B25" s="104" t="s">
        <v>26</v>
      </c>
      <c r="C25" s="107">
        <v>0</v>
      </c>
      <c r="D25" s="212">
        <v>0</v>
      </c>
      <c r="E25" s="102"/>
      <c r="F25" s="102"/>
      <c r="G25" s="103"/>
      <c r="H25" s="102"/>
      <c r="I25" s="9"/>
      <c r="J25" s="102"/>
      <c r="K25" s="102"/>
      <c r="L25" s="216"/>
    </row>
    <row r="26" spans="1:12" x14ac:dyDescent="0.25">
      <c r="A26" s="217"/>
      <c r="B26" s="104" t="s">
        <v>26</v>
      </c>
      <c r="C26" s="106">
        <v>0</v>
      </c>
      <c r="D26" s="212">
        <v>0</v>
      </c>
      <c r="E26" s="28"/>
      <c r="F26" s="107"/>
      <c r="G26" s="28"/>
      <c r="H26" s="28"/>
      <c r="I26" s="28"/>
      <c r="J26" s="99" t="s">
        <v>26</v>
      </c>
      <c r="K26" s="309" t="s">
        <v>26</v>
      </c>
      <c r="L26" s="310"/>
    </row>
    <row r="27" spans="1:12" ht="15.75" thickBot="1" x14ac:dyDescent="0.3">
      <c r="A27" s="217"/>
      <c r="B27" s="104"/>
      <c r="C27" s="106">
        <v>0</v>
      </c>
      <c r="D27" s="212">
        <v>0</v>
      </c>
      <c r="E27" s="28"/>
      <c r="F27" s="107"/>
      <c r="G27" s="28"/>
      <c r="H27" s="28"/>
      <c r="I27" s="28"/>
      <c r="J27" s="99"/>
      <c r="K27" s="148"/>
      <c r="L27" s="306"/>
    </row>
    <row r="28" spans="1:12" ht="15.75" thickBot="1" x14ac:dyDescent="0.3">
      <c r="A28" s="304" t="s">
        <v>96</v>
      </c>
      <c r="B28" s="240" t="s">
        <v>97</v>
      </c>
      <c r="C28" s="243" t="s">
        <v>98</v>
      </c>
      <c r="D28" s="243" t="s">
        <v>1</v>
      </c>
      <c r="E28" s="240" t="s">
        <v>45</v>
      </c>
      <c r="F28" s="239" t="s">
        <v>46</v>
      </c>
      <c r="G28" s="311" t="s">
        <v>79</v>
      </c>
      <c r="H28" s="311"/>
      <c r="I28" s="239" t="s">
        <v>6</v>
      </c>
      <c r="J28" s="239" t="s">
        <v>7</v>
      </c>
      <c r="K28" s="242" t="s">
        <v>9</v>
      </c>
      <c r="L28" s="241" t="s">
        <v>99</v>
      </c>
    </row>
    <row r="29" spans="1:12" x14ac:dyDescent="0.25">
      <c r="A29" s="217" t="s">
        <v>27</v>
      </c>
      <c r="B29" s="28" t="s">
        <v>11</v>
      </c>
      <c r="C29" s="28" t="s">
        <v>84</v>
      </c>
      <c r="D29" s="149" t="s">
        <v>88</v>
      </c>
      <c r="E29" s="28" t="s">
        <v>89</v>
      </c>
      <c r="F29" s="28">
        <v>100</v>
      </c>
      <c r="G29" s="211" t="s">
        <v>83</v>
      </c>
      <c r="H29" s="149">
        <v>120</v>
      </c>
      <c r="I29" s="56">
        <v>1203022</v>
      </c>
      <c r="J29" s="210">
        <v>5000000</v>
      </c>
      <c r="K29" s="28">
        <v>2.25</v>
      </c>
      <c r="L29" s="233" t="s">
        <v>90</v>
      </c>
    </row>
    <row r="30" spans="1:12" x14ac:dyDescent="0.25">
      <c r="A30" s="217" t="s">
        <v>25</v>
      </c>
      <c r="B30" s="28" t="s">
        <v>12</v>
      </c>
      <c r="C30" s="28" t="s">
        <v>82</v>
      </c>
      <c r="D30" s="149" t="s">
        <v>87</v>
      </c>
      <c r="E30" s="28" t="s">
        <v>89</v>
      </c>
      <c r="F30" s="28">
        <v>100.0625</v>
      </c>
      <c r="G30" s="211" t="s">
        <v>83</v>
      </c>
      <c r="H30" s="149">
        <v>120</v>
      </c>
      <c r="I30" s="56">
        <v>123022</v>
      </c>
      <c r="J30" s="210">
        <v>5003125</v>
      </c>
      <c r="K30" s="28">
        <v>2.2799999999999998</v>
      </c>
      <c r="L30" s="233" t="s">
        <v>91</v>
      </c>
    </row>
    <row r="31" spans="1:12" x14ac:dyDescent="0.25">
      <c r="A31" s="217" t="s">
        <v>26</v>
      </c>
      <c r="B31" s="28" t="s">
        <v>26</v>
      </c>
      <c r="C31" s="28" t="s">
        <v>26</v>
      </c>
      <c r="D31" s="149">
        <v>0</v>
      </c>
      <c r="E31" s="28">
        <v>0</v>
      </c>
      <c r="F31" s="28">
        <v>0</v>
      </c>
      <c r="G31" s="211" t="s">
        <v>26</v>
      </c>
      <c r="H31" s="149">
        <v>0</v>
      </c>
      <c r="I31" s="56">
        <v>0</v>
      </c>
      <c r="J31" s="210">
        <v>0</v>
      </c>
      <c r="K31" s="28">
        <v>0</v>
      </c>
      <c r="L31" s="233">
        <v>0</v>
      </c>
    </row>
    <row r="32" spans="1:12" x14ac:dyDescent="0.25">
      <c r="A32" s="217" t="s">
        <v>26</v>
      </c>
      <c r="B32" s="28" t="s">
        <v>26</v>
      </c>
      <c r="C32" s="28" t="s">
        <v>26</v>
      </c>
      <c r="D32" s="149">
        <v>0</v>
      </c>
      <c r="E32" s="28">
        <v>0</v>
      </c>
      <c r="F32" s="28">
        <v>0</v>
      </c>
      <c r="G32" s="211">
        <v>0</v>
      </c>
      <c r="H32" s="149">
        <v>0</v>
      </c>
      <c r="I32" s="56">
        <v>0</v>
      </c>
      <c r="J32" s="210">
        <v>0</v>
      </c>
      <c r="K32" s="28">
        <v>0</v>
      </c>
      <c r="L32" s="233">
        <v>0</v>
      </c>
    </row>
    <row r="33" spans="1:12" x14ac:dyDescent="0.25">
      <c r="A33" s="217" t="s">
        <v>26</v>
      </c>
      <c r="B33" s="28" t="s">
        <v>26</v>
      </c>
      <c r="C33" s="28" t="s">
        <v>26</v>
      </c>
      <c r="D33" s="149">
        <v>0</v>
      </c>
      <c r="E33" s="28">
        <v>0</v>
      </c>
      <c r="F33" s="28">
        <v>0</v>
      </c>
      <c r="G33" s="211">
        <v>0</v>
      </c>
      <c r="H33" s="149">
        <v>0</v>
      </c>
      <c r="I33" s="56">
        <v>0</v>
      </c>
      <c r="J33" s="210">
        <v>0</v>
      </c>
      <c r="K33" s="28">
        <v>0</v>
      </c>
      <c r="L33" s="233">
        <v>0</v>
      </c>
    </row>
    <row r="34" spans="1:12" x14ac:dyDescent="0.25">
      <c r="A34" s="217" t="s">
        <v>26</v>
      </c>
      <c r="B34" s="28" t="s">
        <v>26</v>
      </c>
      <c r="C34" s="28" t="s">
        <v>26</v>
      </c>
      <c r="D34" s="149">
        <v>0</v>
      </c>
      <c r="E34" s="28">
        <v>0</v>
      </c>
      <c r="F34" s="28">
        <v>0</v>
      </c>
      <c r="G34" s="211">
        <v>0</v>
      </c>
      <c r="H34" s="149">
        <v>0</v>
      </c>
      <c r="I34" s="56">
        <v>0</v>
      </c>
      <c r="J34" s="210">
        <v>0</v>
      </c>
      <c r="K34" s="28">
        <v>0</v>
      </c>
      <c r="L34" s="233">
        <v>0</v>
      </c>
    </row>
    <row r="35" spans="1:12" x14ac:dyDescent="0.25">
      <c r="A35" s="217" t="s">
        <v>26</v>
      </c>
      <c r="B35" s="28" t="s">
        <v>26</v>
      </c>
      <c r="C35" s="28" t="s">
        <v>26</v>
      </c>
      <c r="D35" s="149">
        <v>0</v>
      </c>
      <c r="E35" s="28">
        <v>0</v>
      </c>
      <c r="F35" s="28">
        <v>0</v>
      </c>
      <c r="G35" s="211">
        <v>0</v>
      </c>
      <c r="H35" s="149">
        <v>0</v>
      </c>
      <c r="I35" s="56">
        <v>0</v>
      </c>
      <c r="J35" s="210">
        <v>0</v>
      </c>
      <c r="K35" s="28">
        <v>0</v>
      </c>
      <c r="L35" s="233">
        <v>0</v>
      </c>
    </row>
    <row r="36" spans="1:12" x14ac:dyDescent="0.25">
      <c r="A36" s="217" t="s">
        <v>26</v>
      </c>
      <c r="B36" s="28" t="s">
        <v>26</v>
      </c>
      <c r="C36" s="28" t="s">
        <v>26</v>
      </c>
      <c r="D36" s="149">
        <v>0</v>
      </c>
      <c r="E36" s="28">
        <v>0</v>
      </c>
      <c r="F36" s="28">
        <v>0</v>
      </c>
      <c r="G36" s="211">
        <v>0</v>
      </c>
      <c r="H36" s="149">
        <v>0</v>
      </c>
      <c r="I36" s="56">
        <v>0</v>
      </c>
      <c r="J36" s="210">
        <v>0</v>
      </c>
      <c r="K36" s="28">
        <v>0</v>
      </c>
      <c r="L36" s="233">
        <v>0</v>
      </c>
    </row>
    <row r="37" spans="1:12" x14ac:dyDescent="0.25">
      <c r="A37" s="217" t="s">
        <v>26</v>
      </c>
      <c r="B37" s="28" t="s">
        <v>26</v>
      </c>
      <c r="C37" s="28" t="s">
        <v>26</v>
      </c>
      <c r="D37" s="149">
        <v>0</v>
      </c>
      <c r="E37" s="28">
        <v>0</v>
      </c>
      <c r="F37" s="28">
        <v>0</v>
      </c>
      <c r="G37" s="211">
        <v>0</v>
      </c>
      <c r="H37" s="149">
        <v>0</v>
      </c>
      <c r="I37" s="56">
        <v>0</v>
      </c>
      <c r="J37" s="210">
        <v>0</v>
      </c>
      <c r="K37" s="28">
        <v>0</v>
      </c>
      <c r="L37" s="233">
        <v>0</v>
      </c>
    </row>
    <row r="38" spans="1:12" x14ac:dyDescent="0.25">
      <c r="A38" s="217" t="s">
        <v>26</v>
      </c>
      <c r="B38" s="28" t="s">
        <v>26</v>
      </c>
      <c r="C38" s="28" t="s">
        <v>26</v>
      </c>
      <c r="D38" s="149">
        <v>0</v>
      </c>
      <c r="E38" s="28">
        <v>0</v>
      </c>
      <c r="F38" s="28">
        <v>0</v>
      </c>
      <c r="G38" s="211">
        <v>0</v>
      </c>
      <c r="H38" s="149">
        <v>0</v>
      </c>
      <c r="I38" s="56">
        <v>0</v>
      </c>
      <c r="J38" s="210">
        <v>0</v>
      </c>
      <c r="K38" s="28">
        <v>0</v>
      </c>
      <c r="L38" s="233">
        <v>0</v>
      </c>
    </row>
    <row r="39" spans="1:12" x14ac:dyDescent="0.25">
      <c r="A39" s="217" t="s">
        <v>26</v>
      </c>
      <c r="B39" s="28" t="s">
        <v>26</v>
      </c>
      <c r="C39" s="28" t="s">
        <v>26</v>
      </c>
      <c r="D39" s="149">
        <v>0</v>
      </c>
      <c r="E39" s="28">
        <v>0</v>
      </c>
      <c r="F39" s="28">
        <v>0</v>
      </c>
      <c r="G39" s="211">
        <v>0</v>
      </c>
      <c r="H39" s="149">
        <v>0</v>
      </c>
      <c r="I39" s="56">
        <v>0</v>
      </c>
      <c r="J39" s="210">
        <v>0</v>
      </c>
      <c r="K39" s="28">
        <v>0</v>
      </c>
      <c r="L39" s="233">
        <v>0</v>
      </c>
    </row>
    <row r="40" spans="1:12" x14ac:dyDescent="0.25">
      <c r="A40" s="217" t="s">
        <v>26</v>
      </c>
      <c r="B40" s="28" t="s">
        <v>26</v>
      </c>
      <c r="C40" s="28" t="s">
        <v>26</v>
      </c>
      <c r="D40" s="149">
        <v>0</v>
      </c>
      <c r="E40" s="28">
        <v>0</v>
      </c>
      <c r="F40" s="28">
        <v>0</v>
      </c>
      <c r="G40" s="211">
        <v>0</v>
      </c>
      <c r="H40" s="149">
        <v>0</v>
      </c>
      <c r="I40" s="56">
        <v>0</v>
      </c>
      <c r="J40" s="210">
        <v>0</v>
      </c>
      <c r="K40" s="28">
        <v>0</v>
      </c>
      <c r="L40" s="233">
        <v>0</v>
      </c>
    </row>
    <row r="41" spans="1:12" x14ac:dyDescent="0.25">
      <c r="A41" s="217" t="s">
        <v>26</v>
      </c>
      <c r="B41" s="28" t="s">
        <v>26</v>
      </c>
      <c r="C41" s="28" t="s">
        <v>26</v>
      </c>
      <c r="D41" s="149">
        <v>0</v>
      </c>
      <c r="E41" s="28">
        <v>0</v>
      </c>
      <c r="F41" s="28">
        <v>0</v>
      </c>
      <c r="G41" s="211">
        <v>0</v>
      </c>
      <c r="H41" s="149">
        <v>0</v>
      </c>
      <c r="I41" s="56">
        <v>0</v>
      </c>
      <c r="J41" s="210">
        <v>0</v>
      </c>
      <c r="K41" s="28">
        <v>0</v>
      </c>
      <c r="L41" s="233">
        <v>0</v>
      </c>
    </row>
    <row r="42" spans="1:12" ht="15.75" thickBot="1" x14ac:dyDescent="0.3">
      <c r="A42" s="218" t="s">
        <v>26</v>
      </c>
      <c r="B42" s="234" t="s">
        <v>26</v>
      </c>
      <c r="C42" s="234" t="s">
        <v>26</v>
      </c>
      <c r="D42" s="236">
        <v>0</v>
      </c>
      <c r="E42" s="234">
        <v>0</v>
      </c>
      <c r="F42" s="234">
        <v>0</v>
      </c>
      <c r="G42" s="235">
        <v>0</v>
      </c>
      <c r="H42" s="236">
        <v>0</v>
      </c>
      <c r="I42" s="305">
        <v>0</v>
      </c>
      <c r="J42" s="237">
        <v>0</v>
      </c>
      <c r="K42" s="234">
        <v>0</v>
      </c>
      <c r="L42" s="238">
        <v>0</v>
      </c>
    </row>
    <row r="43" spans="1:12" ht="15.75" thickBot="1" x14ac:dyDescent="0.3">
      <c r="A43" s="221" t="s">
        <v>73</v>
      </c>
      <c r="B43" s="222"/>
      <c r="C43" s="244">
        <v>2</v>
      </c>
      <c r="D43" s="245" t="s">
        <v>74</v>
      </c>
      <c r="E43" s="223" t="s">
        <v>92</v>
      </c>
      <c r="F43" s="224">
        <v>3.25</v>
      </c>
      <c r="G43" s="225">
        <v>54424</v>
      </c>
      <c r="H43" s="226" t="s">
        <v>75</v>
      </c>
      <c r="I43" s="222" t="s">
        <v>93</v>
      </c>
      <c r="J43" s="227"/>
      <c r="K43" s="213"/>
      <c r="L43" s="214"/>
    </row>
    <row r="44" spans="1:12" ht="15.75" thickBot="1" x14ac:dyDescent="0.3">
      <c r="A44" s="228"/>
      <c r="B44" s="34"/>
      <c r="C44" s="151"/>
      <c r="D44" s="209"/>
      <c r="E44" s="9"/>
      <c r="F44" s="229"/>
      <c r="G44" s="101"/>
      <c r="H44" s="220"/>
      <c r="I44" s="219"/>
      <c r="J44" s="28"/>
      <c r="K44" s="28"/>
      <c r="L44" s="215"/>
    </row>
    <row r="45" spans="1:12" ht="15.75" thickBot="1" x14ac:dyDescent="0.3">
      <c r="A45" s="221" t="s">
        <v>94</v>
      </c>
      <c r="B45" s="222"/>
      <c r="C45" s="223" t="s">
        <v>27</v>
      </c>
      <c r="D45" s="232">
        <v>3125</v>
      </c>
      <c r="E45" s="100"/>
      <c r="F45" s="221" t="s">
        <v>76</v>
      </c>
      <c r="G45" s="222"/>
      <c r="H45" s="230">
        <v>43027</v>
      </c>
      <c r="I45" s="230"/>
      <c r="J45" s="221" t="s">
        <v>78</v>
      </c>
      <c r="K45" s="222"/>
      <c r="L45" s="231">
        <v>43031</v>
      </c>
    </row>
    <row r="46" spans="1:12" x14ac:dyDescent="0.25">
      <c r="A46" s="217"/>
      <c r="B46" s="104" t="s">
        <v>26</v>
      </c>
      <c r="C46" s="107">
        <v>0</v>
      </c>
      <c r="D46" s="212">
        <v>0</v>
      </c>
      <c r="E46" s="102"/>
      <c r="F46" s="102"/>
      <c r="G46" s="103"/>
      <c r="H46" s="102"/>
      <c r="I46" s="9"/>
      <c r="J46" s="102"/>
      <c r="K46" s="102"/>
      <c r="L46" s="216"/>
    </row>
    <row r="47" spans="1:12" x14ac:dyDescent="0.25">
      <c r="A47" s="217"/>
      <c r="B47" s="104" t="s">
        <v>26</v>
      </c>
      <c r="C47" s="106">
        <v>0</v>
      </c>
      <c r="D47" s="212">
        <v>0</v>
      </c>
      <c r="E47" s="28"/>
      <c r="F47" s="107"/>
      <c r="G47" s="28"/>
      <c r="H47" s="28"/>
      <c r="I47" s="28"/>
      <c r="J47" s="99" t="s">
        <v>26</v>
      </c>
      <c r="K47" s="309" t="s">
        <v>26</v>
      </c>
      <c r="L47" s="310"/>
    </row>
    <row r="48" spans="1:12" ht="15.75" thickBot="1" x14ac:dyDescent="0.3">
      <c r="A48" s="217"/>
      <c r="B48" s="104"/>
      <c r="C48" s="106">
        <v>0</v>
      </c>
      <c r="D48" s="212">
        <v>0</v>
      </c>
      <c r="E48" s="28"/>
      <c r="F48" s="107"/>
      <c r="G48" s="28"/>
      <c r="H48" s="28"/>
      <c r="I48" s="28"/>
      <c r="J48" s="99"/>
      <c r="K48" s="148"/>
      <c r="L48" s="306"/>
    </row>
    <row r="49" spans="1:12" ht="15.75" thickBot="1" x14ac:dyDescent="0.3">
      <c r="A49" s="304" t="s">
        <v>96</v>
      </c>
      <c r="B49" s="240" t="s">
        <v>97</v>
      </c>
      <c r="C49" s="243" t="s">
        <v>98</v>
      </c>
      <c r="D49" s="243" t="s">
        <v>1</v>
      </c>
      <c r="E49" s="240" t="s">
        <v>45</v>
      </c>
      <c r="F49" s="239" t="s">
        <v>46</v>
      </c>
      <c r="G49" s="311" t="s">
        <v>79</v>
      </c>
      <c r="H49" s="311"/>
      <c r="I49" s="239" t="s">
        <v>6</v>
      </c>
      <c r="J49" s="239" t="s">
        <v>7</v>
      </c>
      <c r="K49" s="242" t="s">
        <v>9</v>
      </c>
      <c r="L49" s="241" t="s">
        <v>99</v>
      </c>
    </row>
    <row r="50" spans="1:12" x14ac:dyDescent="0.25">
      <c r="A50" s="217" t="s">
        <v>27</v>
      </c>
      <c r="B50" s="28" t="s">
        <v>11</v>
      </c>
      <c r="C50" s="28" t="s">
        <v>84</v>
      </c>
      <c r="D50" s="149" t="s">
        <v>88</v>
      </c>
      <c r="E50" s="28" t="s">
        <v>89</v>
      </c>
      <c r="F50" s="28">
        <v>100</v>
      </c>
      <c r="G50" s="211" t="s">
        <v>83</v>
      </c>
      <c r="H50" s="149">
        <v>120</v>
      </c>
      <c r="I50" s="56">
        <v>1203022</v>
      </c>
      <c r="J50" s="210">
        <v>5000000</v>
      </c>
      <c r="K50" s="28">
        <v>2.25</v>
      </c>
      <c r="L50" s="233" t="s">
        <v>90</v>
      </c>
    </row>
    <row r="51" spans="1:12" x14ac:dyDescent="0.25">
      <c r="A51" s="217" t="s">
        <v>25</v>
      </c>
      <c r="B51" s="28" t="s">
        <v>12</v>
      </c>
      <c r="C51" s="28" t="s">
        <v>82</v>
      </c>
      <c r="D51" s="149" t="s">
        <v>87</v>
      </c>
      <c r="E51" s="28" t="s">
        <v>89</v>
      </c>
      <c r="F51" s="28">
        <v>100.0625</v>
      </c>
      <c r="G51" s="211" t="s">
        <v>83</v>
      </c>
      <c r="H51" s="149">
        <v>120</v>
      </c>
      <c r="I51" s="56">
        <v>123022</v>
      </c>
      <c r="J51" s="210">
        <v>5003125</v>
      </c>
      <c r="K51" s="28">
        <v>2.2799999999999998</v>
      </c>
      <c r="L51" s="233" t="s">
        <v>91</v>
      </c>
    </row>
    <row r="52" spans="1:12" x14ac:dyDescent="0.25">
      <c r="A52" s="217" t="s">
        <v>26</v>
      </c>
      <c r="B52" s="28" t="s">
        <v>26</v>
      </c>
      <c r="C52" s="28" t="s">
        <v>26</v>
      </c>
      <c r="D52" s="149">
        <v>0</v>
      </c>
      <c r="E52" s="28">
        <v>0</v>
      </c>
      <c r="F52" s="28">
        <v>0</v>
      </c>
      <c r="G52" s="211" t="s">
        <v>26</v>
      </c>
      <c r="H52" s="149">
        <v>0</v>
      </c>
      <c r="I52" s="56">
        <v>0</v>
      </c>
      <c r="J52" s="210">
        <v>0</v>
      </c>
      <c r="K52" s="28">
        <v>0</v>
      </c>
      <c r="L52" s="233">
        <v>0</v>
      </c>
    </row>
    <row r="53" spans="1:12" x14ac:dyDescent="0.25">
      <c r="A53" s="217" t="s">
        <v>26</v>
      </c>
      <c r="B53" s="28" t="s">
        <v>26</v>
      </c>
      <c r="C53" s="28" t="s">
        <v>26</v>
      </c>
      <c r="D53" s="149">
        <v>0</v>
      </c>
      <c r="E53" s="28">
        <v>0</v>
      </c>
      <c r="F53" s="28">
        <v>0</v>
      </c>
      <c r="G53" s="211">
        <v>0</v>
      </c>
      <c r="H53" s="149">
        <v>0</v>
      </c>
      <c r="I53" s="56">
        <v>0</v>
      </c>
      <c r="J53" s="210">
        <v>0</v>
      </c>
      <c r="K53" s="28">
        <v>0</v>
      </c>
      <c r="L53" s="233">
        <v>0</v>
      </c>
    </row>
    <row r="54" spans="1:12" x14ac:dyDescent="0.25">
      <c r="A54" s="217" t="s">
        <v>26</v>
      </c>
      <c r="B54" s="28" t="s">
        <v>26</v>
      </c>
      <c r="C54" s="28" t="s">
        <v>26</v>
      </c>
      <c r="D54" s="149">
        <v>0</v>
      </c>
      <c r="E54" s="28">
        <v>0</v>
      </c>
      <c r="F54" s="28">
        <v>0</v>
      </c>
      <c r="G54" s="211">
        <v>0</v>
      </c>
      <c r="H54" s="149">
        <v>0</v>
      </c>
      <c r="I54" s="56">
        <v>0</v>
      </c>
      <c r="J54" s="210">
        <v>0</v>
      </c>
      <c r="K54" s="28">
        <v>0</v>
      </c>
      <c r="L54" s="233">
        <v>0</v>
      </c>
    </row>
    <row r="55" spans="1:12" x14ac:dyDescent="0.25">
      <c r="A55" s="217" t="s">
        <v>26</v>
      </c>
      <c r="B55" s="28" t="s">
        <v>26</v>
      </c>
      <c r="C55" s="28" t="s">
        <v>26</v>
      </c>
      <c r="D55" s="149">
        <v>0</v>
      </c>
      <c r="E55" s="28">
        <v>0</v>
      </c>
      <c r="F55" s="28">
        <v>0</v>
      </c>
      <c r="G55" s="211">
        <v>0</v>
      </c>
      <c r="H55" s="149">
        <v>0</v>
      </c>
      <c r="I55" s="56">
        <v>0</v>
      </c>
      <c r="J55" s="210">
        <v>0</v>
      </c>
      <c r="K55" s="28">
        <v>0</v>
      </c>
      <c r="L55" s="233">
        <v>0</v>
      </c>
    </row>
    <row r="56" spans="1:12" x14ac:dyDescent="0.25">
      <c r="A56" s="217" t="s">
        <v>26</v>
      </c>
      <c r="B56" s="28" t="s">
        <v>26</v>
      </c>
      <c r="C56" s="28" t="s">
        <v>26</v>
      </c>
      <c r="D56" s="149">
        <v>0</v>
      </c>
      <c r="E56" s="28">
        <v>0</v>
      </c>
      <c r="F56" s="28">
        <v>0</v>
      </c>
      <c r="G56" s="211">
        <v>0</v>
      </c>
      <c r="H56" s="149">
        <v>0</v>
      </c>
      <c r="I56" s="56">
        <v>0</v>
      </c>
      <c r="J56" s="210">
        <v>0</v>
      </c>
      <c r="K56" s="28">
        <v>0</v>
      </c>
      <c r="L56" s="233">
        <v>0</v>
      </c>
    </row>
    <row r="57" spans="1:12" x14ac:dyDescent="0.25">
      <c r="A57" s="217" t="s">
        <v>26</v>
      </c>
      <c r="B57" s="28" t="s">
        <v>26</v>
      </c>
      <c r="C57" s="28" t="s">
        <v>26</v>
      </c>
      <c r="D57" s="149">
        <v>0</v>
      </c>
      <c r="E57" s="28">
        <v>0</v>
      </c>
      <c r="F57" s="28">
        <v>0</v>
      </c>
      <c r="G57" s="211">
        <v>0</v>
      </c>
      <c r="H57" s="149">
        <v>0</v>
      </c>
      <c r="I57" s="56">
        <v>0</v>
      </c>
      <c r="J57" s="210">
        <v>0</v>
      </c>
      <c r="K57" s="28">
        <v>0</v>
      </c>
      <c r="L57" s="233">
        <v>0</v>
      </c>
    </row>
    <row r="58" spans="1:12" x14ac:dyDescent="0.25">
      <c r="A58" s="217" t="s">
        <v>26</v>
      </c>
      <c r="B58" s="28" t="s">
        <v>26</v>
      </c>
      <c r="C58" s="28" t="s">
        <v>26</v>
      </c>
      <c r="D58" s="149">
        <v>0</v>
      </c>
      <c r="E58" s="28">
        <v>0</v>
      </c>
      <c r="F58" s="28">
        <v>0</v>
      </c>
      <c r="G58" s="211">
        <v>0</v>
      </c>
      <c r="H58" s="149">
        <v>0</v>
      </c>
      <c r="I58" s="56">
        <v>0</v>
      </c>
      <c r="J58" s="210">
        <v>0</v>
      </c>
      <c r="K58" s="28">
        <v>0</v>
      </c>
      <c r="L58" s="233">
        <v>0</v>
      </c>
    </row>
    <row r="59" spans="1:12" x14ac:dyDescent="0.25">
      <c r="A59" s="217" t="s">
        <v>26</v>
      </c>
      <c r="B59" s="28" t="s">
        <v>26</v>
      </c>
      <c r="C59" s="28" t="s">
        <v>26</v>
      </c>
      <c r="D59" s="149">
        <v>0</v>
      </c>
      <c r="E59" s="28">
        <v>0</v>
      </c>
      <c r="F59" s="28">
        <v>0</v>
      </c>
      <c r="G59" s="211">
        <v>0</v>
      </c>
      <c r="H59" s="149">
        <v>0</v>
      </c>
      <c r="I59" s="56">
        <v>0</v>
      </c>
      <c r="J59" s="210">
        <v>0</v>
      </c>
      <c r="K59" s="28">
        <v>0</v>
      </c>
      <c r="L59" s="233">
        <v>0</v>
      </c>
    </row>
    <row r="60" spans="1:12" x14ac:dyDescent="0.25">
      <c r="A60" s="217" t="s">
        <v>26</v>
      </c>
      <c r="B60" s="28" t="s">
        <v>26</v>
      </c>
      <c r="C60" s="28" t="s">
        <v>26</v>
      </c>
      <c r="D60" s="149">
        <v>0</v>
      </c>
      <c r="E60" s="28">
        <v>0</v>
      </c>
      <c r="F60" s="28">
        <v>0</v>
      </c>
      <c r="G60" s="211">
        <v>0</v>
      </c>
      <c r="H60" s="149">
        <v>0</v>
      </c>
      <c r="I60" s="56">
        <v>0</v>
      </c>
      <c r="J60" s="210">
        <v>0</v>
      </c>
      <c r="K60" s="28">
        <v>0</v>
      </c>
      <c r="L60" s="233">
        <v>0</v>
      </c>
    </row>
    <row r="61" spans="1:12" x14ac:dyDescent="0.25">
      <c r="A61" s="217" t="s">
        <v>26</v>
      </c>
      <c r="B61" s="28" t="s">
        <v>26</v>
      </c>
      <c r="C61" s="28" t="s">
        <v>26</v>
      </c>
      <c r="D61" s="149">
        <v>0</v>
      </c>
      <c r="E61" s="28">
        <v>0</v>
      </c>
      <c r="F61" s="28">
        <v>0</v>
      </c>
      <c r="G61" s="211">
        <v>0</v>
      </c>
      <c r="H61" s="149">
        <v>0</v>
      </c>
      <c r="I61" s="56">
        <v>0</v>
      </c>
      <c r="J61" s="210">
        <v>0</v>
      </c>
      <c r="K61" s="28">
        <v>0</v>
      </c>
      <c r="L61" s="233">
        <v>0</v>
      </c>
    </row>
    <row r="62" spans="1:12" x14ac:dyDescent="0.25">
      <c r="A62" s="217" t="s">
        <v>26</v>
      </c>
      <c r="B62" s="28" t="s">
        <v>26</v>
      </c>
      <c r="C62" s="28" t="s">
        <v>26</v>
      </c>
      <c r="D62" s="149">
        <v>0</v>
      </c>
      <c r="E62" s="28">
        <v>0</v>
      </c>
      <c r="F62" s="28">
        <v>0</v>
      </c>
      <c r="G62" s="211">
        <v>0</v>
      </c>
      <c r="H62" s="149">
        <v>0</v>
      </c>
      <c r="I62" s="56">
        <v>0</v>
      </c>
      <c r="J62" s="210">
        <v>0</v>
      </c>
      <c r="K62" s="28">
        <v>0</v>
      </c>
      <c r="L62" s="233">
        <v>0</v>
      </c>
    </row>
    <row r="63" spans="1:12" ht="15.75" thickBot="1" x14ac:dyDescent="0.3">
      <c r="A63" s="218" t="s">
        <v>26</v>
      </c>
      <c r="B63" s="234" t="s">
        <v>26</v>
      </c>
      <c r="C63" s="234" t="s">
        <v>26</v>
      </c>
      <c r="D63" s="236">
        <v>0</v>
      </c>
      <c r="E63" s="234">
        <v>0</v>
      </c>
      <c r="F63" s="234">
        <v>0</v>
      </c>
      <c r="G63" s="235">
        <v>0</v>
      </c>
      <c r="H63" s="236">
        <v>0</v>
      </c>
      <c r="I63" s="305">
        <v>0</v>
      </c>
      <c r="J63" s="237">
        <v>0</v>
      </c>
      <c r="K63" s="234">
        <v>0</v>
      </c>
      <c r="L63" s="238">
        <v>0</v>
      </c>
    </row>
    <row r="64" spans="1:12" ht="15.75" thickBot="1" x14ac:dyDescent="0.3">
      <c r="A64" s="221" t="s">
        <v>73</v>
      </c>
      <c r="B64" s="222"/>
      <c r="C64" s="244">
        <v>2</v>
      </c>
      <c r="D64" s="245" t="s">
        <v>74</v>
      </c>
      <c r="E64" s="223" t="s">
        <v>92</v>
      </c>
      <c r="F64" s="224">
        <v>3.25</v>
      </c>
      <c r="G64" s="225">
        <v>54424</v>
      </c>
      <c r="H64" s="226" t="s">
        <v>75</v>
      </c>
      <c r="I64" s="222" t="s">
        <v>93</v>
      </c>
      <c r="J64" s="227"/>
      <c r="K64" s="213"/>
      <c r="L64" s="214"/>
    </row>
    <row r="65" spans="1:12" ht="15.75" thickBot="1" x14ac:dyDescent="0.3">
      <c r="A65" s="228"/>
      <c r="B65" s="34"/>
      <c r="C65" s="151"/>
      <c r="D65" s="209"/>
      <c r="E65" s="9"/>
      <c r="F65" s="229"/>
      <c r="G65" s="101"/>
      <c r="H65" s="220"/>
      <c r="I65" s="219"/>
      <c r="J65" s="28"/>
      <c r="K65" s="28"/>
      <c r="L65" s="215"/>
    </row>
    <row r="66" spans="1:12" ht="15.75" thickBot="1" x14ac:dyDescent="0.3">
      <c r="A66" s="221" t="s">
        <v>94</v>
      </c>
      <c r="B66" s="222"/>
      <c r="C66" s="223" t="s">
        <v>27</v>
      </c>
      <c r="D66" s="232">
        <v>3125</v>
      </c>
      <c r="E66" s="100"/>
      <c r="F66" s="221" t="s">
        <v>76</v>
      </c>
      <c r="G66" s="222"/>
      <c r="H66" s="230">
        <v>43027</v>
      </c>
      <c r="I66" s="230"/>
      <c r="J66" s="221" t="s">
        <v>78</v>
      </c>
      <c r="K66" s="222"/>
      <c r="L66" s="231">
        <v>43031</v>
      </c>
    </row>
    <row r="67" spans="1:12" x14ac:dyDescent="0.25">
      <c r="A67" s="217"/>
      <c r="B67" s="104" t="s">
        <v>26</v>
      </c>
      <c r="C67" s="107">
        <v>0</v>
      </c>
      <c r="D67" s="212">
        <v>0</v>
      </c>
      <c r="E67" s="102"/>
      <c r="F67" s="102"/>
      <c r="G67" s="103"/>
      <c r="H67" s="102"/>
      <c r="I67" s="9"/>
      <c r="J67" s="102"/>
      <c r="K67" s="102"/>
      <c r="L67" s="216"/>
    </row>
    <row r="68" spans="1:12" x14ac:dyDescent="0.25">
      <c r="A68" s="217"/>
      <c r="B68" s="104" t="s">
        <v>26</v>
      </c>
      <c r="C68" s="106">
        <v>0</v>
      </c>
      <c r="D68" s="212">
        <v>0</v>
      </c>
      <c r="E68" s="28"/>
      <c r="F68" s="107"/>
      <c r="G68" s="28"/>
      <c r="H68" s="28"/>
      <c r="I68" s="28"/>
      <c r="J68" s="99" t="s">
        <v>26</v>
      </c>
      <c r="K68" s="309" t="s">
        <v>26</v>
      </c>
      <c r="L68" s="310"/>
    </row>
    <row r="69" spans="1:12" ht="15.75" thickBot="1" x14ac:dyDescent="0.3">
      <c r="A69" s="217"/>
      <c r="B69" s="104"/>
      <c r="C69" s="106">
        <v>0</v>
      </c>
      <c r="D69" s="212">
        <v>0</v>
      </c>
      <c r="E69" s="28"/>
      <c r="F69" s="107"/>
      <c r="G69" s="28"/>
      <c r="H69" s="28"/>
      <c r="I69" s="28"/>
      <c r="J69" s="99"/>
      <c r="K69" s="148"/>
      <c r="L69" s="306"/>
    </row>
    <row r="70" spans="1:12" ht="15.75" thickBot="1" x14ac:dyDescent="0.3">
      <c r="A70" s="304" t="s">
        <v>96</v>
      </c>
      <c r="B70" s="240" t="s">
        <v>97</v>
      </c>
      <c r="C70" s="243" t="s">
        <v>98</v>
      </c>
      <c r="D70" s="243" t="s">
        <v>1</v>
      </c>
      <c r="E70" s="240" t="s">
        <v>45</v>
      </c>
      <c r="F70" s="239" t="s">
        <v>46</v>
      </c>
      <c r="G70" s="311" t="s">
        <v>79</v>
      </c>
      <c r="H70" s="311"/>
      <c r="I70" s="239" t="s">
        <v>6</v>
      </c>
      <c r="J70" s="239" t="s">
        <v>7</v>
      </c>
      <c r="K70" s="242" t="s">
        <v>9</v>
      </c>
      <c r="L70" s="241" t="s">
        <v>99</v>
      </c>
    </row>
    <row r="71" spans="1:12" x14ac:dyDescent="0.25">
      <c r="A71" s="217" t="s">
        <v>27</v>
      </c>
      <c r="B71" s="28" t="s">
        <v>11</v>
      </c>
      <c r="C71" s="28" t="s">
        <v>84</v>
      </c>
      <c r="D71" s="149" t="s">
        <v>88</v>
      </c>
      <c r="E71" s="28" t="s">
        <v>89</v>
      </c>
      <c r="F71" s="28">
        <v>100</v>
      </c>
      <c r="G71" s="211" t="s">
        <v>83</v>
      </c>
      <c r="H71" s="149">
        <v>120</v>
      </c>
      <c r="I71" s="56">
        <v>1203022</v>
      </c>
      <c r="J71" s="210">
        <v>5000000</v>
      </c>
      <c r="K71" s="28">
        <v>2.25</v>
      </c>
      <c r="L71" s="233" t="s">
        <v>90</v>
      </c>
    </row>
    <row r="72" spans="1:12" x14ac:dyDescent="0.25">
      <c r="A72" s="217" t="s">
        <v>25</v>
      </c>
      <c r="B72" s="28" t="s">
        <v>12</v>
      </c>
      <c r="C72" s="28" t="s">
        <v>82</v>
      </c>
      <c r="D72" s="149" t="s">
        <v>87</v>
      </c>
      <c r="E72" s="28" t="s">
        <v>89</v>
      </c>
      <c r="F72" s="28">
        <v>100.0625</v>
      </c>
      <c r="G72" s="211" t="s">
        <v>83</v>
      </c>
      <c r="H72" s="149">
        <v>120</v>
      </c>
      <c r="I72" s="56">
        <v>123022</v>
      </c>
      <c r="J72" s="210">
        <v>5003125</v>
      </c>
      <c r="K72" s="28">
        <v>2.2799999999999998</v>
      </c>
      <c r="L72" s="233" t="s">
        <v>91</v>
      </c>
    </row>
    <row r="73" spans="1:12" x14ac:dyDescent="0.25">
      <c r="A73" s="217" t="s">
        <v>26</v>
      </c>
      <c r="B73" s="28" t="s">
        <v>26</v>
      </c>
      <c r="C73" s="28" t="s">
        <v>26</v>
      </c>
      <c r="D73" s="149">
        <v>0</v>
      </c>
      <c r="E73" s="28">
        <v>0</v>
      </c>
      <c r="F73" s="28">
        <v>0</v>
      </c>
      <c r="G73" s="211" t="s">
        <v>26</v>
      </c>
      <c r="H73" s="149">
        <v>0</v>
      </c>
      <c r="I73" s="56">
        <v>0</v>
      </c>
      <c r="J73" s="210">
        <v>0</v>
      </c>
      <c r="K73" s="28">
        <v>0</v>
      </c>
      <c r="L73" s="233">
        <v>0</v>
      </c>
    </row>
    <row r="74" spans="1:12" x14ac:dyDescent="0.25">
      <c r="A74" s="217" t="s">
        <v>26</v>
      </c>
      <c r="B74" s="28" t="s">
        <v>26</v>
      </c>
      <c r="C74" s="28" t="s">
        <v>26</v>
      </c>
      <c r="D74" s="149">
        <v>0</v>
      </c>
      <c r="E74" s="28">
        <v>0</v>
      </c>
      <c r="F74" s="28">
        <v>0</v>
      </c>
      <c r="G74" s="211">
        <v>0</v>
      </c>
      <c r="H74" s="149">
        <v>0</v>
      </c>
      <c r="I74" s="56">
        <v>0</v>
      </c>
      <c r="J74" s="210">
        <v>0</v>
      </c>
      <c r="K74" s="28">
        <v>0</v>
      </c>
      <c r="L74" s="233">
        <v>0</v>
      </c>
    </row>
    <row r="75" spans="1:12" x14ac:dyDescent="0.25">
      <c r="A75" s="217" t="s">
        <v>26</v>
      </c>
      <c r="B75" s="28" t="s">
        <v>26</v>
      </c>
      <c r="C75" s="28" t="s">
        <v>26</v>
      </c>
      <c r="D75" s="149">
        <v>0</v>
      </c>
      <c r="E75" s="28">
        <v>0</v>
      </c>
      <c r="F75" s="28">
        <v>0</v>
      </c>
      <c r="G75" s="211">
        <v>0</v>
      </c>
      <c r="H75" s="149">
        <v>0</v>
      </c>
      <c r="I75" s="56">
        <v>0</v>
      </c>
      <c r="J75" s="210">
        <v>0</v>
      </c>
      <c r="K75" s="28">
        <v>0</v>
      </c>
      <c r="L75" s="233">
        <v>0</v>
      </c>
    </row>
    <row r="76" spans="1:12" x14ac:dyDescent="0.25">
      <c r="A76" s="217" t="s">
        <v>26</v>
      </c>
      <c r="B76" s="28" t="s">
        <v>26</v>
      </c>
      <c r="C76" s="28" t="s">
        <v>26</v>
      </c>
      <c r="D76" s="149">
        <v>0</v>
      </c>
      <c r="E76" s="28">
        <v>0</v>
      </c>
      <c r="F76" s="28">
        <v>0</v>
      </c>
      <c r="G76" s="211">
        <v>0</v>
      </c>
      <c r="H76" s="149">
        <v>0</v>
      </c>
      <c r="I76" s="56">
        <v>0</v>
      </c>
      <c r="J76" s="210">
        <v>0</v>
      </c>
      <c r="K76" s="28">
        <v>0</v>
      </c>
      <c r="L76" s="233">
        <v>0</v>
      </c>
    </row>
    <row r="77" spans="1:12" x14ac:dyDescent="0.25">
      <c r="A77" s="217" t="s">
        <v>26</v>
      </c>
      <c r="B77" s="28" t="s">
        <v>26</v>
      </c>
      <c r="C77" s="28" t="s">
        <v>26</v>
      </c>
      <c r="D77" s="149">
        <v>0</v>
      </c>
      <c r="E77" s="28">
        <v>0</v>
      </c>
      <c r="F77" s="28">
        <v>0</v>
      </c>
      <c r="G77" s="211">
        <v>0</v>
      </c>
      <c r="H77" s="149">
        <v>0</v>
      </c>
      <c r="I77" s="56">
        <v>0</v>
      </c>
      <c r="J77" s="210">
        <v>0</v>
      </c>
      <c r="K77" s="28">
        <v>0</v>
      </c>
      <c r="L77" s="233">
        <v>0</v>
      </c>
    </row>
    <row r="78" spans="1:12" x14ac:dyDescent="0.25">
      <c r="A78" s="217" t="s">
        <v>26</v>
      </c>
      <c r="B78" s="28" t="s">
        <v>26</v>
      </c>
      <c r="C78" s="28" t="s">
        <v>26</v>
      </c>
      <c r="D78" s="149">
        <v>0</v>
      </c>
      <c r="E78" s="28">
        <v>0</v>
      </c>
      <c r="F78" s="28">
        <v>0</v>
      </c>
      <c r="G78" s="211">
        <v>0</v>
      </c>
      <c r="H78" s="149">
        <v>0</v>
      </c>
      <c r="I78" s="56">
        <v>0</v>
      </c>
      <c r="J78" s="210">
        <v>0</v>
      </c>
      <c r="K78" s="28">
        <v>0</v>
      </c>
      <c r="L78" s="233">
        <v>0</v>
      </c>
    </row>
    <row r="79" spans="1:12" x14ac:dyDescent="0.25">
      <c r="A79" s="217" t="s">
        <v>26</v>
      </c>
      <c r="B79" s="28" t="s">
        <v>26</v>
      </c>
      <c r="C79" s="28" t="s">
        <v>26</v>
      </c>
      <c r="D79" s="149">
        <v>0</v>
      </c>
      <c r="E79" s="28">
        <v>0</v>
      </c>
      <c r="F79" s="28">
        <v>0</v>
      </c>
      <c r="G79" s="211">
        <v>0</v>
      </c>
      <c r="H79" s="149">
        <v>0</v>
      </c>
      <c r="I79" s="56">
        <v>0</v>
      </c>
      <c r="J79" s="210">
        <v>0</v>
      </c>
      <c r="K79" s="28">
        <v>0</v>
      </c>
      <c r="L79" s="233">
        <v>0</v>
      </c>
    </row>
    <row r="80" spans="1:12" x14ac:dyDescent="0.25">
      <c r="A80" s="217" t="s">
        <v>26</v>
      </c>
      <c r="B80" s="28" t="s">
        <v>26</v>
      </c>
      <c r="C80" s="28" t="s">
        <v>26</v>
      </c>
      <c r="D80" s="149">
        <v>0</v>
      </c>
      <c r="E80" s="28">
        <v>0</v>
      </c>
      <c r="F80" s="28">
        <v>0</v>
      </c>
      <c r="G80" s="211">
        <v>0</v>
      </c>
      <c r="H80" s="149">
        <v>0</v>
      </c>
      <c r="I80" s="56">
        <v>0</v>
      </c>
      <c r="J80" s="210">
        <v>0</v>
      </c>
      <c r="K80" s="28">
        <v>0</v>
      </c>
      <c r="L80" s="233">
        <v>0</v>
      </c>
    </row>
    <row r="81" spans="1:12" x14ac:dyDescent="0.25">
      <c r="A81" s="217" t="s">
        <v>26</v>
      </c>
      <c r="B81" s="28" t="s">
        <v>26</v>
      </c>
      <c r="C81" s="28" t="s">
        <v>26</v>
      </c>
      <c r="D81" s="149">
        <v>0</v>
      </c>
      <c r="E81" s="28">
        <v>0</v>
      </c>
      <c r="F81" s="28">
        <v>0</v>
      </c>
      <c r="G81" s="211">
        <v>0</v>
      </c>
      <c r="H81" s="149">
        <v>0</v>
      </c>
      <c r="I81" s="56">
        <v>0</v>
      </c>
      <c r="J81" s="210">
        <v>0</v>
      </c>
      <c r="K81" s="28">
        <v>0</v>
      </c>
      <c r="L81" s="233">
        <v>0</v>
      </c>
    </row>
    <row r="82" spans="1:12" x14ac:dyDescent="0.25">
      <c r="A82" s="217" t="s">
        <v>26</v>
      </c>
      <c r="B82" s="28" t="s">
        <v>26</v>
      </c>
      <c r="C82" s="28" t="s">
        <v>26</v>
      </c>
      <c r="D82" s="149">
        <v>0</v>
      </c>
      <c r="E82" s="28">
        <v>0</v>
      </c>
      <c r="F82" s="28">
        <v>0</v>
      </c>
      <c r="G82" s="211">
        <v>0</v>
      </c>
      <c r="H82" s="149">
        <v>0</v>
      </c>
      <c r="I82" s="56">
        <v>0</v>
      </c>
      <c r="J82" s="210">
        <v>0</v>
      </c>
      <c r="K82" s="28">
        <v>0</v>
      </c>
      <c r="L82" s="233">
        <v>0</v>
      </c>
    </row>
    <row r="83" spans="1:12" x14ac:dyDescent="0.25">
      <c r="A83" s="217" t="s">
        <v>26</v>
      </c>
      <c r="B83" s="28" t="s">
        <v>26</v>
      </c>
      <c r="C83" s="28" t="s">
        <v>26</v>
      </c>
      <c r="D83" s="149">
        <v>0</v>
      </c>
      <c r="E83" s="28">
        <v>0</v>
      </c>
      <c r="F83" s="28">
        <v>0</v>
      </c>
      <c r="G83" s="211">
        <v>0</v>
      </c>
      <c r="H83" s="149">
        <v>0</v>
      </c>
      <c r="I83" s="56">
        <v>0</v>
      </c>
      <c r="J83" s="210">
        <v>0</v>
      </c>
      <c r="K83" s="28">
        <v>0</v>
      </c>
      <c r="L83" s="233">
        <v>0</v>
      </c>
    </row>
    <row r="84" spans="1:12" ht="15.75" thickBot="1" x14ac:dyDescent="0.3">
      <c r="A84" s="218" t="s">
        <v>26</v>
      </c>
      <c r="B84" s="234" t="s">
        <v>26</v>
      </c>
      <c r="C84" s="234" t="s">
        <v>26</v>
      </c>
      <c r="D84" s="236">
        <v>0</v>
      </c>
      <c r="E84" s="234">
        <v>0</v>
      </c>
      <c r="F84" s="234">
        <v>0</v>
      </c>
      <c r="G84" s="235">
        <v>0</v>
      </c>
      <c r="H84" s="236">
        <v>0</v>
      </c>
      <c r="I84" s="305">
        <v>0</v>
      </c>
      <c r="J84" s="237">
        <v>0</v>
      </c>
      <c r="K84" s="234">
        <v>0</v>
      </c>
      <c r="L84" s="238">
        <v>0</v>
      </c>
    </row>
    <row r="85" spans="1:12" ht="15.75" thickBot="1" x14ac:dyDescent="0.3">
      <c r="A85" s="221" t="s">
        <v>73</v>
      </c>
      <c r="B85" s="222"/>
      <c r="C85" s="244">
        <v>2</v>
      </c>
      <c r="D85" s="245" t="s">
        <v>74</v>
      </c>
      <c r="E85" s="223" t="s">
        <v>92</v>
      </c>
      <c r="F85" s="224">
        <v>3.25</v>
      </c>
      <c r="G85" s="225">
        <v>54424</v>
      </c>
      <c r="H85" s="226" t="s">
        <v>75</v>
      </c>
      <c r="I85" s="222" t="s">
        <v>93</v>
      </c>
      <c r="J85" s="227"/>
      <c r="K85" s="213"/>
      <c r="L85" s="214"/>
    </row>
    <row r="86" spans="1:12" ht="15.75" thickBot="1" x14ac:dyDescent="0.3">
      <c r="A86" s="228"/>
      <c r="B86" s="34"/>
      <c r="C86" s="151"/>
      <c r="D86" s="209"/>
      <c r="E86" s="9"/>
      <c r="F86" s="229"/>
      <c r="G86" s="101"/>
      <c r="H86" s="220"/>
      <c r="I86" s="219"/>
      <c r="J86" s="28"/>
      <c r="K86" s="28"/>
      <c r="L86" s="215"/>
    </row>
    <row r="87" spans="1:12" ht="15.75" thickBot="1" x14ac:dyDescent="0.3">
      <c r="A87" s="221" t="s">
        <v>94</v>
      </c>
      <c r="B87" s="222"/>
      <c r="C87" s="223">
        <v>0</v>
      </c>
      <c r="D87" s="232">
        <v>3125</v>
      </c>
      <c r="E87" s="100"/>
      <c r="F87" s="221" t="s">
        <v>76</v>
      </c>
      <c r="G87" s="222"/>
      <c r="H87" s="230">
        <v>43027</v>
      </c>
      <c r="I87" s="230"/>
      <c r="J87" s="221" t="s">
        <v>78</v>
      </c>
      <c r="K87" s="222"/>
      <c r="L87" s="231">
        <v>43031</v>
      </c>
    </row>
    <row r="88" spans="1:12" x14ac:dyDescent="0.25">
      <c r="A88" s="217"/>
      <c r="B88" s="104" t="s">
        <v>26</v>
      </c>
      <c r="C88" s="107">
        <v>0</v>
      </c>
      <c r="D88" s="212" t="s">
        <v>26</v>
      </c>
      <c r="E88" s="102"/>
      <c r="F88" s="102"/>
      <c r="G88" s="103"/>
      <c r="H88" s="102"/>
      <c r="I88" s="9"/>
      <c r="J88" s="102"/>
      <c r="K88" s="102"/>
      <c r="L88" s="216"/>
    </row>
    <row r="89" spans="1:12" x14ac:dyDescent="0.25">
      <c r="A89" s="217"/>
      <c r="B89" s="104" t="s">
        <v>26</v>
      </c>
      <c r="C89" s="106">
        <v>0</v>
      </c>
      <c r="D89" s="152">
        <v>0</v>
      </c>
      <c r="E89" s="28"/>
      <c r="F89" s="107"/>
      <c r="G89" s="28"/>
      <c r="H89" s="28"/>
      <c r="I89" s="28"/>
      <c r="J89" s="99" t="s">
        <v>26</v>
      </c>
      <c r="K89" s="309" t="s">
        <v>26</v>
      </c>
      <c r="L89" s="310"/>
    </row>
    <row r="90" spans="1:12" ht="15.75" thickBot="1" x14ac:dyDescent="0.3">
      <c r="A90" s="217"/>
      <c r="B90" s="104"/>
      <c r="C90" s="106">
        <v>0</v>
      </c>
      <c r="D90" s="152"/>
      <c r="E90" s="28"/>
      <c r="F90" s="107"/>
      <c r="G90" s="28"/>
      <c r="H90" s="28"/>
      <c r="I90" s="28"/>
      <c r="J90" s="99"/>
      <c r="K90" s="105"/>
      <c r="L90" s="306"/>
    </row>
    <row r="91" spans="1:12" ht="15.75" thickBot="1" x14ac:dyDescent="0.3">
      <c r="A91" s="304" t="s">
        <v>96</v>
      </c>
      <c r="B91" s="240" t="s">
        <v>97</v>
      </c>
      <c r="C91" s="243" t="s">
        <v>98</v>
      </c>
      <c r="D91" s="243" t="s">
        <v>1</v>
      </c>
      <c r="E91" s="240" t="s">
        <v>45</v>
      </c>
      <c r="F91" s="239" t="s">
        <v>46</v>
      </c>
      <c r="G91" s="311" t="s">
        <v>79</v>
      </c>
      <c r="H91" s="311"/>
      <c r="I91" s="239" t="s">
        <v>6</v>
      </c>
      <c r="J91" s="239" t="s">
        <v>7</v>
      </c>
      <c r="K91" s="242" t="s">
        <v>9</v>
      </c>
      <c r="L91" s="241" t="s">
        <v>99</v>
      </c>
    </row>
    <row r="92" spans="1:12" x14ac:dyDescent="0.25">
      <c r="A92" s="217" t="s">
        <v>27</v>
      </c>
      <c r="B92" s="28" t="s">
        <v>11</v>
      </c>
      <c r="C92" s="28" t="s">
        <v>84</v>
      </c>
      <c r="D92" s="98" t="s">
        <v>88</v>
      </c>
      <c r="E92" s="28" t="s">
        <v>89</v>
      </c>
      <c r="F92" s="28">
        <v>100</v>
      </c>
      <c r="G92" s="211" t="s">
        <v>83</v>
      </c>
      <c r="H92" s="98">
        <v>120</v>
      </c>
      <c r="I92" s="56">
        <v>1203022</v>
      </c>
      <c r="J92" s="210">
        <v>5000000</v>
      </c>
      <c r="K92" s="28">
        <v>2.25</v>
      </c>
      <c r="L92" s="233" t="s">
        <v>90</v>
      </c>
    </row>
    <row r="93" spans="1:12" x14ac:dyDescent="0.25">
      <c r="A93" s="217" t="s">
        <v>27</v>
      </c>
      <c r="B93" s="28" t="s">
        <v>12</v>
      </c>
      <c r="C93" s="28" t="s">
        <v>82</v>
      </c>
      <c r="D93" s="98" t="s">
        <v>87</v>
      </c>
      <c r="E93" s="28" t="s">
        <v>89</v>
      </c>
      <c r="F93" s="28">
        <v>100.0625</v>
      </c>
      <c r="G93" s="211" t="s">
        <v>83</v>
      </c>
      <c r="H93" s="98">
        <v>120</v>
      </c>
      <c r="I93" s="56">
        <v>123022</v>
      </c>
      <c r="J93" s="210">
        <v>5003125</v>
      </c>
      <c r="K93" s="28">
        <v>2.2799999999999998</v>
      </c>
      <c r="L93" s="233" t="s">
        <v>91</v>
      </c>
    </row>
    <row r="94" spans="1:12" x14ac:dyDescent="0.25">
      <c r="A94" s="217" t="s">
        <v>26</v>
      </c>
      <c r="B94" s="28" t="s">
        <v>26</v>
      </c>
      <c r="C94" s="28" t="s">
        <v>26</v>
      </c>
      <c r="D94" s="98">
        <v>0</v>
      </c>
      <c r="E94" s="28">
        <v>0</v>
      </c>
      <c r="F94" s="28">
        <v>0</v>
      </c>
      <c r="G94" s="211" t="s">
        <v>26</v>
      </c>
      <c r="H94" s="98">
        <v>0</v>
      </c>
      <c r="I94" s="56">
        <v>0</v>
      </c>
      <c r="J94" s="210">
        <v>0</v>
      </c>
      <c r="K94" s="28">
        <v>0</v>
      </c>
      <c r="L94" s="233">
        <v>0</v>
      </c>
    </row>
    <row r="95" spans="1:12" x14ac:dyDescent="0.25">
      <c r="A95" s="217" t="s">
        <v>26</v>
      </c>
      <c r="B95" s="28" t="s">
        <v>26</v>
      </c>
      <c r="C95" s="28" t="s">
        <v>26</v>
      </c>
      <c r="D95" s="98">
        <v>0</v>
      </c>
      <c r="E95" s="28">
        <v>0</v>
      </c>
      <c r="F95" s="28">
        <v>0</v>
      </c>
      <c r="G95" s="211">
        <v>0</v>
      </c>
      <c r="H95" s="98">
        <v>0</v>
      </c>
      <c r="I95" s="56">
        <v>0</v>
      </c>
      <c r="J95" s="210">
        <v>0</v>
      </c>
      <c r="K95" s="28">
        <v>0</v>
      </c>
      <c r="L95" s="233">
        <v>0</v>
      </c>
    </row>
    <row r="96" spans="1:12" x14ac:dyDescent="0.25">
      <c r="A96" s="217" t="s">
        <v>26</v>
      </c>
      <c r="B96" s="28" t="s">
        <v>26</v>
      </c>
      <c r="C96" s="28" t="s">
        <v>26</v>
      </c>
      <c r="D96" s="98">
        <v>0</v>
      </c>
      <c r="E96" s="28">
        <v>0</v>
      </c>
      <c r="F96" s="28">
        <v>0</v>
      </c>
      <c r="G96" s="211">
        <v>0</v>
      </c>
      <c r="H96" s="98">
        <v>0</v>
      </c>
      <c r="I96" s="56">
        <v>0</v>
      </c>
      <c r="J96" s="210">
        <v>0</v>
      </c>
      <c r="K96" s="28">
        <v>0</v>
      </c>
      <c r="L96" s="233">
        <v>0</v>
      </c>
    </row>
    <row r="97" spans="1:12" x14ac:dyDescent="0.25">
      <c r="A97" s="217" t="s">
        <v>26</v>
      </c>
      <c r="B97" s="28" t="s">
        <v>26</v>
      </c>
      <c r="C97" s="28" t="s">
        <v>26</v>
      </c>
      <c r="D97" s="98">
        <v>0</v>
      </c>
      <c r="E97" s="28">
        <v>0</v>
      </c>
      <c r="F97" s="28">
        <v>0</v>
      </c>
      <c r="G97" s="211">
        <v>0</v>
      </c>
      <c r="H97" s="98">
        <v>0</v>
      </c>
      <c r="I97" s="56">
        <v>0</v>
      </c>
      <c r="J97" s="210">
        <v>0</v>
      </c>
      <c r="K97" s="28">
        <v>0</v>
      </c>
      <c r="L97" s="233">
        <v>0</v>
      </c>
    </row>
    <row r="98" spans="1:12" x14ac:dyDescent="0.25">
      <c r="A98" s="217" t="s">
        <v>26</v>
      </c>
      <c r="B98" s="28" t="s">
        <v>26</v>
      </c>
      <c r="C98" s="28" t="s">
        <v>26</v>
      </c>
      <c r="D98" s="98">
        <v>0</v>
      </c>
      <c r="E98" s="28">
        <v>0</v>
      </c>
      <c r="F98" s="28">
        <v>0</v>
      </c>
      <c r="G98" s="211">
        <v>0</v>
      </c>
      <c r="H98" s="98">
        <v>0</v>
      </c>
      <c r="I98" s="56">
        <v>0</v>
      </c>
      <c r="J98" s="210">
        <v>0</v>
      </c>
      <c r="K98" s="28">
        <v>0</v>
      </c>
      <c r="L98" s="233">
        <v>0</v>
      </c>
    </row>
    <row r="99" spans="1:12" x14ac:dyDescent="0.25">
      <c r="A99" s="217" t="s">
        <v>26</v>
      </c>
      <c r="B99" s="28" t="s">
        <v>26</v>
      </c>
      <c r="C99" s="28" t="s">
        <v>26</v>
      </c>
      <c r="D99" s="98">
        <v>0</v>
      </c>
      <c r="E99" s="28">
        <v>0</v>
      </c>
      <c r="F99" s="28">
        <v>0</v>
      </c>
      <c r="G99" s="211">
        <v>0</v>
      </c>
      <c r="H99" s="98">
        <v>0</v>
      </c>
      <c r="I99" s="56">
        <v>0</v>
      </c>
      <c r="J99" s="210">
        <v>0</v>
      </c>
      <c r="K99" s="28">
        <v>0</v>
      </c>
      <c r="L99" s="233">
        <v>0</v>
      </c>
    </row>
    <row r="100" spans="1:12" x14ac:dyDescent="0.25">
      <c r="A100" s="217" t="s">
        <v>26</v>
      </c>
      <c r="B100" s="28" t="s">
        <v>26</v>
      </c>
      <c r="C100" s="28" t="s">
        <v>26</v>
      </c>
      <c r="D100" s="98">
        <v>0</v>
      </c>
      <c r="E100" s="28">
        <v>0</v>
      </c>
      <c r="F100" s="28">
        <v>0</v>
      </c>
      <c r="G100" s="211">
        <v>0</v>
      </c>
      <c r="H100" s="98">
        <v>0</v>
      </c>
      <c r="I100" s="56">
        <v>0</v>
      </c>
      <c r="J100" s="210">
        <v>0</v>
      </c>
      <c r="K100" s="28">
        <v>0</v>
      </c>
      <c r="L100" s="233">
        <v>0</v>
      </c>
    </row>
    <row r="101" spans="1:12" x14ac:dyDescent="0.25">
      <c r="A101" s="217" t="s">
        <v>26</v>
      </c>
      <c r="B101" s="28" t="s">
        <v>26</v>
      </c>
      <c r="C101" s="28" t="s">
        <v>26</v>
      </c>
      <c r="D101" s="98">
        <v>0</v>
      </c>
      <c r="E101" s="28">
        <v>0</v>
      </c>
      <c r="F101" s="28">
        <v>0</v>
      </c>
      <c r="G101" s="211">
        <v>0</v>
      </c>
      <c r="H101" s="98">
        <v>0</v>
      </c>
      <c r="I101" s="56">
        <v>0</v>
      </c>
      <c r="J101" s="210">
        <v>0</v>
      </c>
      <c r="K101" s="28">
        <v>0</v>
      </c>
      <c r="L101" s="233">
        <v>0</v>
      </c>
    </row>
    <row r="102" spans="1:12" x14ac:dyDescent="0.25">
      <c r="A102" s="217" t="s">
        <v>26</v>
      </c>
      <c r="B102" s="28" t="s">
        <v>26</v>
      </c>
      <c r="C102" s="28" t="s">
        <v>26</v>
      </c>
      <c r="D102" s="98">
        <v>0</v>
      </c>
      <c r="E102" s="28">
        <v>0</v>
      </c>
      <c r="F102" s="28">
        <v>0</v>
      </c>
      <c r="G102" s="211">
        <v>0</v>
      </c>
      <c r="H102" s="98">
        <v>0</v>
      </c>
      <c r="I102" s="56">
        <v>0</v>
      </c>
      <c r="J102" s="210">
        <v>0</v>
      </c>
      <c r="K102" s="28">
        <v>0</v>
      </c>
      <c r="L102" s="233">
        <v>0</v>
      </c>
    </row>
    <row r="103" spans="1:12" x14ac:dyDescent="0.25">
      <c r="A103" s="217" t="s">
        <v>26</v>
      </c>
      <c r="B103" s="28" t="s">
        <v>26</v>
      </c>
      <c r="C103" s="28" t="s">
        <v>26</v>
      </c>
      <c r="D103" s="98">
        <v>0</v>
      </c>
      <c r="E103" s="28">
        <v>0</v>
      </c>
      <c r="F103" s="28">
        <v>0</v>
      </c>
      <c r="G103" s="211">
        <v>0</v>
      </c>
      <c r="H103" s="98">
        <v>0</v>
      </c>
      <c r="I103" s="56">
        <v>0</v>
      </c>
      <c r="J103" s="210">
        <v>0</v>
      </c>
      <c r="K103" s="28">
        <v>0</v>
      </c>
      <c r="L103" s="233">
        <v>0</v>
      </c>
    </row>
    <row r="104" spans="1:12" x14ac:dyDescent="0.25">
      <c r="A104" s="217" t="s">
        <v>26</v>
      </c>
      <c r="B104" s="28" t="s">
        <v>26</v>
      </c>
      <c r="C104" s="28" t="s">
        <v>26</v>
      </c>
      <c r="D104" s="98">
        <v>0</v>
      </c>
      <c r="E104" s="28">
        <v>0</v>
      </c>
      <c r="F104" s="28">
        <v>0</v>
      </c>
      <c r="G104" s="211">
        <v>0</v>
      </c>
      <c r="H104" s="98">
        <v>0</v>
      </c>
      <c r="I104" s="56">
        <v>0</v>
      </c>
      <c r="J104" s="210">
        <v>0</v>
      </c>
      <c r="K104" s="28">
        <v>0</v>
      </c>
      <c r="L104" s="233">
        <v>0</v>
      </c>
    </row>
    <row r="105" spans="1:12" ht="15.75" thickBot="1" x14ac:dyDescent="0.3">
      <c r="A105" s="218" t="s">
        <v>26</v>
      </c>
      <c r="B105" s="234" t="s">
        <v>26</v>
      </c>
      <c r="C105" s="234" t="s">
        <v>26</v>
      </c>
      <c r="D105" s="236">
        <v>0</v>
      </c>
      <c r="E105" s="234">
        <v>0</v>
      </c>
      <c r="F105" s="234">
        <v>0</v>
      </c>
      <c r="G105" s="235">
        <v>0</v>
      </c>
      <c r="H105" s="236">
        <v>0</v>
      </c>
      <c r="I105" s="305">
        <v>0</v>
      </c>
      <c r="J105" s="237">
        <v>0</v>
      </c>
      <c r="K105" s="234">
        <v>0</v>
      </c>
      <c r="L105" s="238">
        <v>0</v>
      </c>
    </row>
    <row r="106" spans="1:12" x14ac:dyDescent="0.25">
      <c r="A106" s="139" t="s">
        <v>73</v>
      </c>
      <c r="B106" s="108"/>
      <c r="C106" s="108" t="s">
        <v>41</v>
      </c>
      <c r="D106" s="109" t="s">
        <v>74</v>
      </c>
      <c r="E106" s="110" t="s">
        <v>26</v>
      </c>
      <c r="F106" s="111" t="s">
        <v>26</v>
      </c>
      <c r="G106" s="112" t="s">
        <v>26</v>
      </c>
      <c r="H106" s="113" t="s">
        <v>75</v>
      </c>
      <c r="I106" s="108">
        <v>0</v>
      </c>
      <c r="J106" s="108"/>
      <c r="K106" s="67"/>
      <c r="L106" s="114"/>
    </row>
    <row r="107" spans="1:12" x14ac:dyDescent="0.25">
      <c r="A107" s="136"/>
      <c r="B107" s="127"/>
      <c r="C107" s="128"/>
      <c r="D107" s="129"/>
      <c r="E107" s="130"/>
      <c r="F107" s="131"/>
      <c r="G107" s="132"/>
      <c r="H107" s="133"/>
      <c r="I107" s="130"/>
      <c r="J107" s="46"/>
      <c r="K107" s="46"/>
      <c r="L107" s="137"/>
    </row>
    <row r="108" spans="1:12" ht="15.75" thickBot="1" x14ac:dyDescent="0.3">
      <c r="A108" s="144" t="s">
        <v>76</v>
      </c>
      <c r="B108" s="141"/>
      <c r="C108" s="142">
        <v>43027</v>
      </c>
      <c r="D108" s="143"/>
      <c r="E108" s="140" t="s">
        <v>78</v>
      </c>
      <c r="F108" s="141"/>
      <c r="G108" s="126">
        <v>43028</v>
      </c>
      <c r="H108" s="102"/>
      <c r="I108" s="9"/>
      <c r="J108" s="102"/>
      <c r="K108" s="102"/>
      <c r="L108" s="115"/>
    </row>
    <row r="109" spans="1:12" x14ac:dyDescent="0.25">
      <c r="A109" s="116"/>
      <c r="B109" s="102"/>
      <c r="C109" s="101"/>
      <c r="D109" s="101"/>
      <c r="E109" s="102"/>
      <c r="F109" s="102"/>
      <c r="G109" s="103"/>
      <c r="H109" s="102"/>
      <c r="I109" s="9"/>
      <c r="J109" s="102"/>
      <c r="K109" s="102"/>
      <c r="L109" s="115"/>
    </row>
    <row r="110" spans="1:12" ht="15.75" thickBot="1" x14ac:dyDescent="0.3">
      <c r="A110" s="145" t="s">
        <v>77</v>
      </c>
      <c r="B110" s="146"/>
      <c r="C110" s="134"/>
      <c r="D110" s="28"/>
      <c r="E110" s="107"/>
      <c r="F110" s="28"/>
      <c r="G110" s="28"/>
      <c r="H110" s="28"/>
      <c r="I110" s="99" t="s">
        <v>26</v>
      </c>
      <c r="J110" s="309" t="s">
        <v>26</v>
      </c>
      <c r="K110" s="309"/>
      <c r="L110" s="117"/>
    </row>
    <row r="111" spans="1:12" x14ac:dyDescent="0.25">
      <c r="A111" s="118" t="s">
        <v>26</v>
      </c>
      <c r="B111" s="107"/>
      <c r="C111" s="135" t="s">
        <v>26</v>
      </c>
      <c r="D111" s="105"/>
      <c r="E111" s="105"/>
      <c r="F111" s="104"/>
      <c r="G111" s="105"/>
      <c r="H111" s="105"/>
      <c r="I111" s="99"/>
      <c r="J111" s="105"/>
      <c r="K111" s="105"/>
      <c r="L111" s="117"/>
    </row>
    <row r="112" spans="1:12" x14ac:dyDescent="0.25">
      <c r="A112" s="119" t="s">
        <v>26</v>
      </c>
      <c r="B112" s="106"/>
      <c r="C112" s="147" t="s">
        <v>26</v>
      </c>
      <c r="D112" s="105"/>
      <c r="E112" s="105"/>
      <c r="F112" s="104"/>
      <c r="G112" s="105"/>
      <c r="H112" s="105"/>
      <c r="I112" s="99"/>
      <c r="J112" s="105"/>
      <c r="K112" s="105"/>
      <c r="L112" s="117"/>
    </row>
    <row r="113" spans="1:12" ht="15.75" thickBot="1" x14ac:dyDescent="0.3">
      <c r="A113" s="120">
        <v>0</v>
      </c>
      <c r="B113" s="121"/>
      <c r="C113" s="138">
        <v>0</v>
      </c>
      <c r="D113" s="123"/>
      <c r="E113" s="123"/>
      <c r="F113" s="122"/>
      <c r="G113" s="123"/>
      <c r="H113" s="123"/>
      <c r="I113" s="124"/>
      <c r="J113" s="123"/>
      <c r="K113" s="123"/>
      <c r="L113" s="125"/>
    </row>
    <row r="114" spans="1:12" x14ac:dyDescent="0.25">
      <c r="A114" s="28">
        <v>0</v>
      </c>
      <c r="B114" s="28" t="s">
        <v>26</v>
      </c>
      <c r="C114" s="28" t="s">
        <v>26</v>
      </c>
      <c r="D114" s="28" t="s">
        <v>26</v>
      </c>
      <c r="E114" s="28" t="s">
        <v>26</v>
      </c>
      <c r="F114" s="28">
        <v>0</v>
      </c>
      <c r="G114" s="28">
        <v>0</v>
      </c>
      <c r="H114" s="28" t="s">
        <v>26</v>
      </c>
      <c r="I114" s="28" t="s">
        <v>26</v>
      </c>
      <c r="J114" s="28">
        <v>0</v>
      </c>
      <c r="K114" s="28">
        <v>0</v>
      </c>
      <c r="L114" s="28">
        <v>0</v>
      </c>
    </row>
    <row r="115" spans="1:12" x14ac:dyDescent="0.25">
      <c r="A115" s="28">
        <v>0</v>
      </c>
      <c r="B115" s="28" t="s">
        <v>26</v>
      </c>
      <c r="C115" s="28" t="s">
        <v>26</v>
      </c>
      <c r="D115" s="28" t="s">
        <v>26</v>
      </c>
      <c r="E115" s="28" t="s">
        <v>26</v>
      </c>
      <c r="F115" s="28">
        <v>0</v>
      </c>
      <c r="G115" s="28">
        <v>0</v>
      </c>
      <c r="H115" s="28" t="s">
        <v>26</v>
      </c>
      <c r="I115" s="28" t="s">
        <v>26</v>
      </c>
      <c r="J115" s="28">
        <v>0</v>
      </c>
      <c r="K115" s="28">
        <v>0</v>
      </c>
      <c r="L115" s="28">
        <v>0</v>
      </c>
    </row>
    <row r="116" spans="1:12" x14ac:dyDescent="0.25">
      <c r="A116" s="28">
        <v>0</v>
      </c>
      <c r="B116" s="28" t="s">
        <v>26</v>
      </c>
      <c r="C116" s="28" t="s">
        <v>26</v>
      </c>
      <c r="D116" s="28" t="s">
        <v>26</v>
      </c>
      <c r="E116" s="28">
        <v>0</v>
      </c>
      <c r="F116" s="28">
        <v>0</v>
      </c>
      <c r="G116" s="28">
        <v>0</v>
      </c>
      <c r="H116" s="28">
        <v>0</v>
      </c>
      <c r="I116" s="28" t="s">
        <v>26</v>
      </c>
      <c r="J116" s="28">
        <v>0</v>
      </c>
      <c r="K116" s="28">
        <v>0</v>
      </c>
      <c r="L116" s="28">
        <v>0</v>
      </c>
    </row>
    <row r="117" spans="1:12" x14ac:dyDescent="0.25">
      <c r="A117" s="28">
        <v>0</v>
      </c>
      <c r="B117" s="28" t="s">
        <v>26</v>
      </c>
      <c r="C117" s="28" t="s">
        <v>26</v>
      </c>
      <c r="D117" s="28" t="s">
        <v>26</v>
      </c>
      <c r="E117" s="28">
        <v>0</v>
      </c>
      <c r="F117" s="28">
        <v>0</v>
      </c>
      <c r="G117" s="28">
        <v>0</v>
      </c>
      <c r="H117" s="28">
        <v>0</v>
      </c>
      <c r="I117" s="28">
        <v>0</v>
      </c>
      <c r="J117" s="28">
        <v>0</v>
      </c>
      <c r="K117" s="28">
        <v>0</v>
      </c>
      <c r="L117" s="28">
        <v>0</v>
      </c>
    </row>
    <row r="118" spans="1:12" x14ac:dyDescent="0.25">
      <c r="A118" s="28">
        <v>0</v>
      </c>
      <c r="B118" s="28" t="s">
        <v>26</v>
      </c>
      <c r="C118" s="28" t="s">
        <v>26</v>
      </c>
      <c r="D118" s="28" t="s">
        <v>26</v>
      </c>
      <c r="E118" s="28">
        <v>0</v>
      </c>
      <c r="F118" s="28">
        <v>0</v>
      </c>
      <c r="G118" s="28">
        <v>0</v>
      </c>
      <c r="H118" s="28">
        <v>0</v>
      </c>
      <c r="I118" s="28">
        <v>0</v>
      </c>
      <c r="J118" s="28">
        <v>0</v>
      </c>
      <c r="K118" s="28">
        <v>0</v>
      </c>
      <c r="L118" s="28">
        <v>0</v>
      </c>
    </row>
    <row r="119" spans="1:12" x14ac:dyDescent="0.25">
      <c r="A119" s="28">
        <v>0</v>
      </c>
      <c r="B119" s="28" t="s">
        <v>26</v>
      </c>
      <c r="C119" s="28" t="s">
        <v>26</v>
      </c>
      <c r="D119" s="28" t="s">
        <v>26</v>
      </c>
      <c r="E119" s="28">
        <v>0</v>
      </c>
      <c r="F119" s="28">
        <v>0</v>
      </c>
      <c r="G119" s="28">
        <v>0</v>
      </c>
      <c r="H119" s="28">
        <v>0</v>
      </c>
      <c r="I119" s="28">
        <v>0</v>
      </c>
      <c r="J119" s="28">
        <v>0</v>
      </c>
      <c r="K119" s="28">
        <v>0</v>
      </c>
      <c r="L119" s="28">
        <v>0</v>
      </c>
    </row>
    <row r="120" spans="1:12" x14ac:dyDescent="0.25">
      <c r="A120" s="28">
        <v>0</v>
      </c>
      <c r="B120" s="28" t="s">
        <v>26</v>
      </c>
      <c r="C120" s="28" t="s">
        <v>26</v>
      </c>
      <c r="D120" s="28" t="s">
        <v>26</v>
      </c>
      <c r="E120" s="28">
        <v>0</v>
      </c>
      <c r="F120" s="28">
        <v>0</v>
      </c>
      <c r="G120" s="28">
        <v>0</v>
      </c>
      <c r="H120" s="28">
        <v>0</v>
      </c>
      <c r="I120" s="28">
        <v>0</v>
      </c>
      <c r="J120" s="28">
        <v>0</v>
      </c>
      <c r="K120" s="28">
        <v>0</v>
      </c>
      <c r="L120" s="28">
        <v>0</v>
      </c>
    </row>
    <row r="121" spans="1:12" x14ac:dyDescent="0.25">
      <c r="A121" s="28">
        <v>0</v>
      </c>
      <c r="B121" s="28" t="s">
        <v>26</v>
      </c>
      <c r="C121" s="28" t="s">
        <v>26</v>
      </c>
      <c r="D121" s="28" t="s">
        <v>26</v>
      </c>
      <c r="E121" s="28">
        <v>0</v>
      </c>
      <c r="F121" s="28">
        <v>0</v>
      </c>
      <c r="G121" s="28">
        <v>0</v>
      </c>
      <c r="H121" s="28">
        <v>0</v>
      </c>
      <c r="I121" s="28">
        <v>0</v>
      </c>
      <c r="J121" s="28">
        <v>0</v>
      </c>
      <c r="K121" s="28">
        <v>0</v>
      </c>
      <c r="L121" s="28">
        <v>0</v>
      </c>
    </row>
    <row r="122" spans="1:12" x14ac:dyDescent="0.25">
      <c r="A122" s="28">
        <v>0</v>
      </c>
      <c r="B122" s="28" t="s">
        <v>26</v>
      </c>
      <c r="C122" s="28" t="s">
        <v>26</v>
      </c>
      <c r="D122" s="28" t="s">
        <v>26</v>
      </c>
      <c r="E122" s="28">
        <v>0</v>
      </c>
      <c r="F122" s="28">
        <v>0</v>
      </c>
      <c r="G122" s="28">
        <v>0</v>
      </c>
      <c r="H122" s="28">
        <v>0</v>
      </c>
      <c r="I122" s="28">
        <v>0</v>
      </c>
      <c r="J122" s="28">
        <v>0</v>
      </c>
      <c r="K122" s="28">
        <v>0</v>
      </c>
      <c r="L122" s="28">
        <v>0</v>
      </c>
    </row>
    <row r="123" spans="1:12" x14ac:dyDescent="0.25">
      <c r="A123" s="28">
        <v>0</v>
      </c>
      <c r="B123" s="28" t="s">
        <v>26</v>
      </c>
      <c r="C123" s="28" t="s">
        <v>26</v>
      </c>
      <c r="D123" s="28" t="s">
        <v>26</v>
      </c>
      <c r="E123" s="28">
        <v>0</v>
      </c>
      <c r="F123" s="28">
        <v>0</v>
      </c>
      <c r="G123" s="28">
        <v>0</v>
      </c>
      <c r="H123" s="28">
        <v>0</v>
      </c>
      <c r="I123" s="28">
        <v>0</v>
      </c>
      <c r="J123" s="28">
        <v>0</v>
      </c>
      <c r="K123" s="28">
        <v>0</v>
      </c>
      <c r="L123" s="28">
        <v>0</v>
      </c>
    </row>
    <row r="124" spans="1:12" x14ac:dyDescent="0.25">
      <c r="A124" s="28">
        <v>0</v>
      </c>
      <c r="B124" s="28" t="s">
        <v>26</v>
      </c>
      <c r="C124" s="28" t="s">
        <v>26</v>
      </c>
      <c r="D124" s="28" t="s">
        <v>26</v>
      </c>
      <c r="E124" s="28">
        <v>0</v>
      </c>
      <c r="F124" s="28">
        <v>0</v>
      </c>
      <c r="G124" s="28">
        <v>0</v>
      </c>
      <c r="H124" s="28">
        <v>0</v>
      </c>
      <c r="I124" s="28">
        <v>0</v>
      </c>
      <c r="J124" s="28">
        <v>0</v>
      </c>
      <c r="K124" s="28">
        <v>0</v>
      </c>
      <c r="L124" s="28">
        <v>0</v>
      </c>
    </row>
    <row r="125" spans="1:12" x14ac:dyDescent="0.25">
      <c r="A125" s="28">
        <v>0</v>
      </c>
      <c r="B125" s="28" t="s">
        <v>26</v>
      </c>
      <c r="C125" s="28" t="s">
        <v>26</v>
      </c>
      <c r="D125" s="28" t="s">
        <v>26</v>
      </c>
      <c r="E125" s="28">
        <v>0</v>
      </c>
      <c r="F125" s="28">
        <v>0</v>
      </c>
      <c r="G125" s="28">
        <v>0</v>
      </c>
      <c r="H125" s="28">
        <v>0</v>
      </c>
      <c r="I125" s="28">
        <v>0</v>
      </c>
      <c r="J125" s="28">
        <v>0</v>
      </c>
      <c r="K125" s="28">
        <v>0</v>
      </c>
      <c r="L125" s="28">
        <v>0</v>
      </c>
    </row>
    <row r="126" spans="1:12" x14ac:dyDescent="0.25">
      <c r="A126" s="28">
        <v>0</v>
      </c>
      <c r="B126" s="28" t="s">
        <v>26</v>
      </c>
      <c r="C126" s="28" t="s">
        <v>26</v>
      </c>
      <c r="D126" s="28" t="s">
        <v>26</v>
      </c>
      <c r="E126" s="28">
        <v>0</v>
      </c>
      <c r="F126" s="28">
        <v>0</v>
      </c>
      <c r="G126" s="28">
        <v>0</v>
      </c>
      <c r="H126" s="28">
        <v>0</v>
      </c>
      <c r="I126" s="28">
        <v>0</v>
      </c>
      <c r="J126" s="28">
        <v>0</v>
      </c>
      <c r="K126" s="28">
        <v>0</v>
      </c>
      <c r="L126" s="28">
        <v>0</v>
      </c>
    </row>
    <row r="127" spans="1:12" x14ac:dyDescent="0.25">
      <c r="A127" s="28">
        <v>0</v>
      </c>
      <c r="B127" s="28" t="s">
        <v>26</v>
      </c>
      <c r="C127" s="28" t="s">
        <v>26</v>
      </c>
      <c r="D127" s="28" t="s">
        <v>26</v>
      </c>
      <c r="E127" s="28">
        <v>0</v>
      </c>
      <c r="F127" s="28">
        <v>0</v>
      </c>
      <c r="G127" s="28">
        <v>0</v>
      </c>
      <c r="H127" s="28">
        <v>0</v>
      </c>
      <c r="I127" s="28">
        <v>0</v>
      </c>
      <c r="J127" s="28">
        <v>0</v>
      </c>
      <c r="K127" s="28">
        <v>0</v>
      </c>
      <c r="L127" s="28">
        <v>0</v>
      </c>
    </row>
    <row r="128" spans="1:12" x14ac:dyDescent="0.25">
      <c r="A128" s="28"/>
      <c r="B128" s="28"/>
      <c r="C128" s="28" t="s">
        <v>26</v>
      </c>
      <c r="D128" s="28"/>
      <c r="E128" s="28"/>
      <c r="F128" s="28"/>
      <c r="G128" s="28"/>
      <c r="H128" s="28"/>
      <c r="I128" s="28"/>
      <c r="J128" s="28"/>
      <c r="K128" s="28"/>
      <c r="L128" s="28"/>
    </row>
    <row r="129" spans="1:12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</row>
    <row r="130" spans="1:12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</row>
    <row r="131" spans="1:12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1:12" x14ac:dyDescent="0.25">
      <c r="A132" s="28"/>
      <c r="B132" s="28"/>
      <c r="C132" s="28" t="s">
        <v>26</v>
      </c>
      <c r="D132" s="28"/>
      <c r="E132" s="28"/>
      <c r="F132" s="28"/>
      <c r="G132" s="28"/>
      <c r="H132" s="28"/>
      <c r="I132" s="28"/>
      <c r="J132" s="28"/>
      <c r="K132" s="28"/>
      <c r="L132" s="28"/>
    </row>
    <row r="133" spans="1:12" ht="15.75" thickBot="1" x14ac:dyDescent="0.3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</row>
    <row r="134" spans="1:12" x14ac:dyDescent="0.25">
      <c r="A134" s="139" t="s">
        <v>73</v>
      </c>
      <c r="B134" s="108"/>
      <c r="C134" s="108">
        <v>0</v>
      </c>
      <c r="D134" s="109" t="s">
        <v>74</v>
      </c>
      <c r="E134" s="110" t="s">
        <v>26</v>
      </c>
      <c r="F134" s="111" t="s">
        <v>26</v>
      </c>
      <c r="G134" s="112" t="s">
        <v>26</v>
      </c>
      <c r="H134" s="113" t="s">
        <v>75</v>
      </c>
      <c r="I134" s="108" t="s">
        <v>26</v>
      </c>
      <c r="J134" s="108"/>
      <c r="K134" s="67"/>
      <c r="L134" s="114"/>
    </row>
    <row r="135" spans="1:12" x14ac:dyDescent="0.25">
      <c r="A135" s="136"/>
      <c r="B135" s="127"/>
      <c r="C135" s="128"/>
      <c r="D135" s="129"/>
      <c r="E135" s="130"/>
      <c r="F135" s="131"/>
      <c r="G135" s="132"/>
      <c r="H135" s="133"/>
      <c r="I135" s="130"/>
      <c r="J135" s="46"/>
      <c r="K135" s="46"/>
      <c r="L135" s="137"/>
    </row>
    <row r="136" spans="1:12" ht="15.75" thickBot="1" x14ac:dyDescent="0.3">
      <c r="A136" s="144" t="s">
        <v>76</v>
      </c>
      <c r="B136" s="141"/>
      <c r="C136" s="142">
        <v>43026</v>
      </c>
      <c r="D136" s="143"/>
      <c r="E136" s="140" t="s">
        <v>78</v>
      </c>
      <c r="F136" s="141"/>
      <c r="G136" s="126">
        <v>43028</v>
      </c>
      <c r="H136" s="102"/>
      <c r="I136" s="9"/>
      <c r="J136" s="102"/>
      <c r="K136" s="102"/>
      <c r="L136" s="115"/>
    </row>
    <row r="137" spans="1:12" x14ac:dyDescent="0.25">
      <c r="A137" s="116"/>
      <c r="B137" s="102"/>
      <c r="C137" s="101"/>
      <c r="D137" s="101"/>
      <c r="E137" s="102"/>
      <c r="F137" s="102"/>
      <c r="G137" s="103"/>
      <c r="H137" s="102"/>
      <c r="I137" s="9"/>
      <c r="J137" s="102"/>
      <c r="K137" s="102"/>
      <c r="L137" s="115"/>
    </row>
    <row r="138" spans="1:12" ht="15.75" thickBot="1" x14ac:dyDescent="0.3">
      <c r="A138" s="145" t="s">
        <v>77</v>
      </c>
      <c r="B138" s="146"/>
      <c r="C138" s="134"/>
      <c r="D138" s="28"/>
      <c r="E138" s="107"/>
      <c r="F138" s="28"/>
      <c r="G138" s="28"/>
      <c r="H138" s="28"/>
      <c r="I138" s="99" t="s">
        <v>26</v>
      </c>
      <c r="J138" s="309" t="s">
        <v>26</v>
      </c>
      <c r="K138" s="309"/>
      <c r="L138" s="117"/>
    </row>
    <row r="139" spans="1:12" x14ac:dyDescent="0.25">
      <c r="A139" s="118" t="s">
        <v>26</v>
      </c>
      <c r="B139" s="107"/>
      <c r="C139" s="135" t="s">
        <v>26</v>
      </c>
      <c r="D139" s="105"/>
      <c r="E139" s="105"/>
      <c r="F139" s="104"/>
      <c r="G139" s="105"/>
      <c r="H139" s="105"/>
      <c r="I139" s="99"/>
      <c r="J139" s="105"/>
      <c r="K139" s="105"/>
      <c r="L139" s="117"/>
    </row>
    <row r="140" spans="1:12" x14ac:dyDescent="0.25">
      <c r="A140" s="119" t="s">
        <v>26</v>
      </c>
      <c r="B140" s="106"/>
      <c r="C140" s="147" t="s">
        <v>26</v>
      </c>
      <c r="D140" s="105"/>
      <c r="E140" s="105"/>
      <c r="F140" s="104"/>
      <c r="G140" s="105"/>
      <c r="H140" s="105"/>
      <c r="I140" s="99"/>
      <c r="J140" s="105"/>
      <c r="K140" s="105"/>
      <c r="L140" s="117"/>
    </row>
    <row r="141" spans="1:12" ht="15.75" thickBot="1" x14ac:dyDescent="0.3">
      <c r="A141" s="120">
        <v>0</v>
      </c>
      <c r="B141" s="121"/>
      <c r="C141" s="138">
        <v>0</v>
      </c>
      <c r="D141" s="123"/>
      <c r="E141" s="123"/>
      <c r="F141" s="122"/>
      <c r="G141" s="123"/>
      <c r="H141" s="123"/>
      <c r="I141" s="124"/>
      <c r="J141" s="123"/>
      <c r="K141" s="123"/>
      <c r="L141" s="125"/>
    </row>
    <row r="142" spans="1:12" x14ac:dyDescent="0.25">
      <c r="A142" s="28" t="s">
        <v>13</v>
      </c>
      <c r="B142" s="28" t="s">
        <v>26</v>
      </c>
      <c r="C142" s="28">
        <v>0</v>
      </c>
      <c r="D142" s="28" t="s">
        <v>27</v>
      </c>
      <c r="E142" s="28">
        <v>0</v>
      </c>
      <c r="F142" s="28">
        <v>0</v>
      </c>
      <c r="G142" s="28" t="s">
        <v>40</v>
      </c>
      <c r="H142" s="28">
        <v>0</v>
      </c>
      <c r="I142" s="28">
        <v>0</v>
      </c>
      <c r="J142" s="28">
        <v>0</v>
      </c>
      <c r="K142" s="28">
        <v>0</v>
      </c>
      <c r="L142" s="28">
        <v>0</v>
      </c>
    </row>
    <row r="143" spans="1:12" x14ac:dyDescent="0.25">
      <c r="A143" s="28" t="s">
        <v>13</v>
      </c>
      <c r="B143" s="28" t="s">
        <v>26</v>
      </c>
      <c r="C143" s="28">
        <v>0</v>
      </c>
      <c r="D143" s="28" t="s">
        <v>27</v>
      </c>
      <c r="E143" s="28">
        <v>0</v>
      </c>
      <c r="F143" s="28">
        <v>0</v>
      </c>
      <c r="G143" s="28" t="s">
        <v>40</v>
      </c>
      <c r="H143" s="28">
        <v>0</v>
      </c>
      <c r="I143" s="28">
        <v>0</v>
      </c>
      <c r="J143" s="28">
        <v>0</v>
      </c>
      <c r="K143" s="28">
        <v>0</v>
      </c>
      <c r="L143" s="28">
        <v>0</v>
      </c>
    </row>
    <row r="144" spans="1:12" x14ac:dyDescent="0.25">
      <c r="A144" s="28" t="s">
        <v>13</v>
      </c>
      <c r="B144" s="28" t="s">
        <v>26</v>
      </c>
      <c r="C144" s="28">
        <v>0</v>
      </c>
      <c r="D144" s="28" t="s">
        <v>27</v>
      </c>
      <c r="E144" s="28">
        <v>0</v>
      </c>
      <c r="F144" s="28">
        <v>0</v>
      </c>
      <c r="G144" s="28" t="s">
        <v>40</v>
      </c>
      <c r="H144" s="28">
        <v>0</v>
      </c>
      <c r="I144" s="28">
        <v>0</v>
      </c>
      <c r="J144" s="28">
        <v>0</v>
      </c>
      <c r="K144" s="28">
        <v>0</v>
      </c>
      <c r="L144" s="28">
        <v>0</v>
      </c>
    </row>
    <row r="145" spans="1:12" x14ac:dyDescent="0.25">
      <c r="A145" s="28" t="s">
        <v>13</v>
      </c>
      <c r="B145" s="28" t="s">
        <v>26</v>
      </c>
      <c r="C145" s="28">
        <v>0</v>
      </c>
      <c r="D145" s="28" t="s">
        <v>27</v>
      </c>
      <c r="E145" s="28">
        <v>0</v>
      </c>
      <c r="F145" s="28">
        <v>0</v>
      </c>
      <c r="G145" s="28" t="s">
        <v>40</v>
      </c>
      <c r="H145" s="28">
        <v>0</v>
      </c>
      <c r="I145" s="28">
        <v>0</v>
      </c>
      <c r="J145" s="28">
        <v>0</v>
      </c>
      <c r="K145" s="28">
        <v>0</v>
      </c>
      <c r="L145" s="28">
        <v>0</v>
      </c>
    </row>
    <row r="146" spans="1:12" x14ac:dyDescent="0.25">
      <c r="A146" s="28" t="s">
        <v>13</v>
      </c>
      <c r="B146" s="28" t="s">
        <v>26</v>
      </c>
      <c r="C146" s="28">
        <v>0</v>
      </c>
      <c r="D146" s="28" t="s">
        <v>27</v>
      </c>
      <c r="E146" s="28">
        <v>0</v>
      </c>
      <c r="F146" s="28">
        <v>0</v>
      </c>
      <c r="G146" s="28" t="s">
        <v>40</v>
      </c>
      <c r="H146" s="28">
        <v>0</v>
      </c>
      <c r="I146" s="28">
        <v>0</v>
      </c>
      <c r="J146" s="28">
        <v>0</v>
      </c>
      <c r="K146" s="28">
        <v>0</v>
      </c>
      <c r="L146" s="28">
        <v>0</v>
      </c>
    </row>
    <row r="147" spans="1:12" x14ac:dyDescent="0.25">
      <c r="A147" s="28" t="s">
        <v>13</v>
      </c>
      <c r="B147" s="28" t="s">
        <v>26</v>
      </c>
      <c r="C147" s="28">
        <v>0</v>
      </c>
      <c r="D147" s="28" t="s">
        <v>27</v>
      </c>
      <c r="E147" s="28">
        <v>0</v>
      </c>
      <c r="F147" s="28">
        <v>0</v>
      </c>
      <c r="G147" s="28" t="s">
        <v>40</v>
      </c>
      <c r="H147" s="28">
        <v>0</v>
      </c>
      <c r="I147" s="28">
        <v>0</v>
      </c>
      <c r="J147" s="28">
        <v>0</v>
      </c>
      <c r="K147" s="28">
        <v>0</v>
      </c>
      <c r="L147" s="28">
        <v>0</v>
      </c>
    </row>
    <row r="148" spans="1:12" x14ac:dyDescent="0.25">
      <c r="A148" s="28" t="s">
        <v>13</v>
      </c>
      <c r="B148" s="28" t="s">
        <v>26</v>
      </c>
      <c r="C148" s="28">
        <v>0</v>
      </c>
      <c r="D148" s="28" t="s">
        <v>27</v>
      </c>
      <c r="E148" s="28">
        <v>0</v>
      </c>
      <c r="F148" s="28">
        <v>0</v>
      </c>
      <c r="G148" s="28" t="s">
        <v>40</v>
      </c>
      <c r="H148" s="28">
        <v>0</v>
      </c>
      <c r="I148" s="28">
        <v>0</v>
      </c>
      <c r="J148" s="28">
        <v>0</v>
      </c>
      <c r="K148" s="28">
        <v>0</v>
      </c>
      <c r="L148" s="28">
        <v>0</v>
      </c>
    </row>
    <row r="149" spans="1:12" x14ac:dyDescent="0.25">
      <c r="A149" s="28" t="s">
        <v>13</v>
      </c>
      <c r="B149" s="28" t="s">
        <v>26</v>
      </c>
      <c r="C149" s="28">
        <v>0</v>
      </c>
      <c r="D149" s="28" t="s">
        <v>27</v>
      </c>
      <c r="E149" s="28">
        <v>0</v>
      </c>
      <c r="F149" s="28">
        <v>0</v>
      </c>
      <c r="G149" s="28" t="s">
        <v>40</v>
      </c>
      <c r="H149" s="28">
        <v>0</v>
      </c>
      <c r="I149" s="28">
        <v>0</v>
      </c>
      <c r="J149" s="28">
        <v>0</v>
      </c>
      <c r="K149" s="28">
        <v>0</v>
      </c>
      <c r="L149" s="28">
        <v>0</v>
      </c>
    </row>
    <row r="150" spans="1:12" x14ac:dyDescent="0.25">
      <c r="A150" s="28" t="s">
        <v>13</v>
      </c>
      <c r="B150" s="28" t="s">
        <v>26</v>
      </c>
      <c r="C150" s="28">
        <v>0</v>
      </c>
      <c r="D150" s="28" t="s">
        <v>27</v>
      </c>
      <c r="E150" s="28">
        <v>0</v>
      </c>
      <c r="F150" s="28">
        <v>0</v>
      </c>
      <c r="G150" s="28" t="s">
        <v>40</v>
      </c>
      <c r="H150" s="28">
        <v>0</v>
      </c>
      <c r="I150" s="28">
        <v>0</v>
      </c>
      <c r="J150" s="28">
        <v>0</v>
      </c>
      <c r="K150" s="28">
        <v>0</v>
      </c>
      <c r="L150" s="28">
        <v>0</v>
      </c>
    </row>
    <row r="151" spans="1:12" x14ac:dyDescent="0.25">
      <c r="A151" s="28" t="s">
        <v>13</v>
      </c>
      <c r="B151" s="28" t="s">
        <v>26</v>
      </c>
      <c r="C151" s="28">
        <v>0</v>
      </c>
      <c r="D151" s="28" t="s">
        <v>27</v>
      </c>
      <c r="E151" s="28">
        <v>0</v>
      </c>
      <c r="F151" s="28">
        <v>0</v>
      </c>
      <c r="G151" s="28" t="s">
        <v>40</v>
      </c>
      <c r="H151" s="28">
        <v>0</v>
      </c>
      <c r="I151" s="28">
        <v>0</v>
      </c>
      <c r="J151" s="28">
        <v>0</v>
      </c>
      <c r="K151" s="28">
        <v>0</v>
      </c>
      <c r="L151" s="28">
        <v>0</v>
      </c>
    </row>
    <row r="152" spans="1:12" x14ac:dyDescent="0.25">
      <c r="A152" s="28" t="s">
        <v>13</v>
      </c>
      <c r="B152" s="28" t="s">
        <v>26</v>
      </c>
      <c r="C152" s="28">
        <v>0</v>
      </c>
      <c r="D152" s="28" t="s">
        <v>27</v>
      </c>
      <c r="E152" s="28">
        <v>0</v>
      </c>
      <c r="F152" s="28">
        <v>0</v>
      </c>
      <c r="G152" s="28" t="s">
        <v>40</v>
      </c>
      <c r="H152" s="28">
        <v>0</v>
      </c>
      <c r="I152" s="28">
        <v>0</v>
      </c>
      <c r="J152" s="28">
        <v>0</v>
      </c>
      <c r="K152" s="28">
        <v>0</v>
      </c>
      <c r="L152" s="28">
        <v>0</v>
      </c>
    </row>
    <row r="153" spans="1:12" x14ac:dyDescent="0.25">
      <c r="A153" s="28" t="s">
        <v>13</v>
      </c>
      <c r="B153" s="28" t="s">
        <v>26</v>
      </c>
      <c r="C153" s="28">
        <v>0</v>
      </c>
      <c r="D153" s="28" t="s">
        <v>27</v>
      </c>
      <c r="E153" s="28">
        <v>0</v>
      </c>
      <c r="F153" s="28">
        <v>0</v>
      </c>
      <c r="G153" s="28" t="s">
        <v>40</v>
      </c>
      <c r="H153" s="28">
        <v>0</v>
      </c>
      <c r="I153" s="28">
        <v>0</v>
      </c>
      <c r="J153" s="28">
        <v>0</v>
      </c>
      <c r="K153" s="28">
        <v>0</v>
      </c>
      <c r="L153" s="28">
        <v>0</v>
      </c>
    </row>
    <row r="154" spans="1:12" x14ac:dyDescent="0.25">
      <c r="A154" s="28" t="s">
        <v>13</v>
      </c>
      <c r="B154" s="28" t="s">
        <v>26</v>
      </c>
      <c r="C154" s="28">
        <v>0</v>
      </c>
      <c r="D154" s="28" t="s">
        <v>27</v>
      </c>
      <c r="E154" s="28">
        <v>0</v>
      </c>
      <c r="F154" s="28">
        <v>0</v>
      </c>
      <c r="G154" s="28" t="s">
        <v>40</v>
      </c>
      <c r="H154" s="28">
        <v>0</v>
      </c>
      <c r="I154" s="28">
        <v>0</v>
      </c>
      <c r="J154" s="28">
        <v>0</v>
      </c>
      <c r="K154" s="28">
        <v>0</v>
      </c>
      <c r="L154" s="28">
        <v>0</v>
      </c>
    </row>
    <row r="155" spans="1:12" x14ac:dyDescent="0.25">
      <c r="A155" s="28" t="s">
        <v>13</v>
      </c>
      <c r="B155" s="28" t="s">
        <v>26</v>
      </c>
      <c r="C155" s="28">
        <v>0</v>
      </c>
      <c r="D155" s="28" t="s">
        <v>27</v>
      </c>
      <c r="E155" s="28">
        <v>0</v>
      </c>
      <c r="F155" s="28">
        <v>0</v>
      </c>
      <c r="G155" s="28" t="s">
        <v>40</v>
      </c>
      <c r="H155" s="28">
        <v>0</v>
      </c>
      <c r="I155" s="28">
        <v>0</v>
      </c>
      <c r="J155" s="28">
        <v>0</v>
      </c>
      <c r="K155" s="28">
        <v>0</v>
      </c>
      <c r="L155" s="28">
        <v>0</v>
      </c>
    </row>
  </sheetData>
  <mergeCells count="12">
    <mergeCell ref="J138:K138"/>
    <mergeCell ref="J110:K110"/>
    <mergeCell ref="K89:L89"/>
    <mergeCell ref="G91:H91"/>
    <mergeCell ref="K68:L68"/>
    <mergeCell ref="G70:H70"/>
    <mergeCell ref="K47:L47"/>
    <mergeCell ref="G49:H49"/>
    <mergeCell ref="K26:L26"/>
    <mergeCell ref="G28:H28"/>
    <mergeCell ref="K5:L5"/>
    <mergeCell ref="G7:H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C2:P26"/>
  <sheetViews>
    <sheetView showZeros="0" topLeftCell="B1" workbookViewId="0">
      <selection activeCell="E3" sqref="E3"/>
    </sheetView>
  </sheetViews>
  <sheetFormatPr defaultRowHeight="16.5" x14ac:dyDescent="0.3"/>
  <cols>
    <col min="1" max="2" width="9.140625" style="253"/>
    <col min="3" max="3" width="16.5703125" style="253" customWidth="1"/>
    <col min="4" max="4" width="9.140625" style="253"/>
    <col min="5" max="5" width="12" style="253" bestFit="1" customWidth="1"/>
    <col min="6" max="6" width="9.85546875" style="253" bestFit="1" customWidth="1"/>
    <col min="7" max="7" width="9.140625" style="253" customWidth="1"/>
    <col min="8" max="8" width="9.5703125" style="253" bestFit="1" customWidth="1"/>
    <col min="9" max="9" width="9.140625" style="253"/>
    <col min="10" max="10" width="9.5703125" style="253" bestFit="1" customWidth="1"/>
    <col min="11" max="11" width="14.140625" style="253" customWidth="1"/>
    <col min="12" max="12" width="13.42578125" style="253" bestFit="1" customWidth="1"/>
    <col min="13" max="14" width="9.5703125" style="253" bestFit="1" customWidth="1"/>
    <col min="15" max="15" width="13.140625" style="253" customWidth="1"/>
    <col min="16" max="16384" width="9.140625" style="253"/>
  </cols>
  <sheetData>
    <row r="2" spans="3:16" ht="17.25" thickBot="1" x14ac:dyDescent="0.35"/>
    <row r="3" spans="3:16" ht="17.25" thickBot="1" x14ac:dyDescent="0.35">
      <c r="C3" s="315" t="s">
        <v>95</v>
      </c>
      <c r="D3" s="316"/>
      <c r="E3" s="257"/>
      <c r="F3" s="258"/>
      <c r="G3" s="258"/>
      <c r="H3" s="258"/>
      <c r="I3" s="258"/>
      <c r="J3" s="258"/>
      <c r="K3" s="258"/>
      <c r="L3" s="258"/>
      <c r="M3" s="283" t="s">
        <v>73</v>
      </c>
      <c r="N3" s="276"/>
      <c r="O3" s="284">
        <v>2</v>
      </c>
    </row>
    <row r="4" spans="3:16" x14ac:dyDescent="0.3">
      <c r="C4" s="259"/>
      <c r="D4" s="260"/>
      <c r="E4" s="261"/>
      <c r="F4" s="262"/>
      <c r="G4" s="262"/>
      <c r="H4" s="262"/>
      <c r="I4" s="262"/>
      <c r="J4" s="262"/>
      <c r="K4" s="262"/>
      <c r="L4" s="262"/>
      <c r="M4" s="262"/>
      <c r="N4" s="262"/>
      <c r="O4" s="263"/>
    </row>
    <row r="5" spans="3:16" x14ac:dyDescent="0.3">
      <c r="C5" s="264"/>
      <c r="D5" s="265"/>
      <c r="E5" s="266"/>
      <c r="F5" s="262"/>
      <c r="G5" s="262"/>
      <c r="H5" s="262"/>
      <c r="I5" s="262"/>
      <c r="J5" s="262"/>
      <c r="K5" s="262"/>
      <c r="L5" s="262"/>
      <c r="M5" s="262"/>
      <c r="N5" s="262"/>
      <c r="O5" s="263"/>
    </row>
    <row r="6" spans="3:16" ht="17.25" thickBot="1" x14ac:dyDescent="0.35">
      <c r="C6" s="267"/>
      <c r="D6" s="268"/>
      <c r="E6" s="269"/>
      <c r="F6" s="262"/>
      <c r="G6" s="262"/>
      <c r="H6" s="262"/>
      <c r="I6" s="262"/>
      <c r="J6" s="262"/>
      <c r="K6" s="262"/>
      <c r="L6" s="262"/>
      <c r="M6" s="262"/>
      <c r="N6" s="262"/>
      <c r="O6" s="263"/>
    </row>
    <row r="7" spans="3:16" ht="9.75" customHeight="1" thickBot="1" x14ac:dyDescent="0.35">
      <c r="C7" s="270"/>
      <c r="D7" s="262"/>
      <c r="E7" s="262"/>
      <c r="F7" s="262"/>
      <c r="G7" s="262"/>
      <c r="H7" s="262" t="s">
        <v>26</v>
      </c>
      <c r="I7" s="262"/>
      <c r="J7" s="262"/>
      <c r="K7" s="262"/>
      <c r="L7" s="262"/>
      <c r="M7" s="262"/>
      <c r="N7" s="262"/>
      <c r="O7" s="263"/>
    </row>
    <row r="8" spans="3:16" ht="17.25" thickBot="1" x14ac:dyDescent="0.35">
      <c r="C8" s="271" t="s">
        <v>74</v>
      </c>
      <c r="D8" s="272" t="s">
        <v>92</v>
      </c>
      <c r="E8" s="273">
        <v>3.25</v>
      </c>
      <c r="F8" s="274">
        <v>54424</v>
      </c>
      <c r="G8" s="275" t="s">
        <v>75</v>
      </c>
      <c r="H8" s="276" t="s">
        <v>93</v>
      </c>
      <c r="I8" s="277"/>
      <c r="J8" s="262"/>
      <c r="K8" s="262"/>
      <c r="L8" s="262"/>
      <c r="M8" s="262"/>
      <c r="N8" s="262"/>
      <c r="O8" s="263"/>
      <c r="P8" s="254"/>
    </row>
    <row r="9" spans="3:16" ht="17.25" thickBot="1" x14ac:dyDescent="0.35">
      <c r="C9" s="270"/>
      <c r="D9" s="262"/>
      <c r="E9" s="262"/>
      <c r="F9" s="278"/>
      <c r="G9" s="278"/>
      <c r="H9" s="279"/>
      <c r="I9" s="312" t="s">
        <v>76</v>
      </c>
      <c r="J9" s="313"/>
      <c r="K9" s="280">
        <v>43027</v>
      </c>
      <c r="L9" s="281"/>
      <c r="M9" s="276" t="s">
        <v>78</v>
      </c>
      <c r="N9" s="276"/>
      <c r="O9" s="282">
        <v>43031</v>
      </c>
    </row>
    <row r="10" spans="3:16" ht="17.25" thickBot="1" x14ac:dyDescent="0.35">
      <c r="C10" s="255"/>
      <c r="D10" s="254"/>
      <c r="E10" s="254"/>
      <c r="F10" s="262"/>
      <c r="G10" s="262"/>
      <c r="H10" s="262"/>
      <c r="I10" s="262"/>
      <c r="J10" s="262"/>
      <c r="K10" s="262"/>
      <c r="L10" s="262"/>
      <c r="M10" s="285"/>
      <c r="N10" s="286"/>
      <c r="O10" s="287"/>
    </row>
    <row r="11" spans="3:16" ht="17.25" thickBot="1" x14ac:dyDescent="0.35">
      <c r="C11" s="246" t="s">
        <v>96</v>
      </c>
      <c r="D11" s="247" t="s">
        <v>97</v>
      </c>
      <c r="E11" s="248" t="s">
        <v>98</v>
      </c>
      <c r="F11" s="248" t="s">
        <v>1</v>
      </c>
      <c r="G11" s="247" t="s">
        <v>45</v>
      </c>
      <c r="H11" s="249" t="s">
        <v>46</v>
      </c>
      <c r="I11" s="314" t="s">
        <v>79</v>
      </c>
      <c r="J11" s="314"/>
      <c r="K11" s="250" t="s">
        <v>6</v>
      </c>
      <c r="L11" s="249" t="s">
        <v>7</v>
      </c>
      <c r="M11" s="251" t="s">
        <v>8</v>
      </c>
      <c r="N11" s="251" t="s">
        <v>9</v>
      </c>
      <c r="O11" s="252" t="s">
        <v>99</v>
      </c>
    </row>
    <row r="12" spans="3:16" x14ac:dyDescent="0.3">
      <c r="C12" s="288"/>
      <c r="D12" s="258"/>
      <c r="E12" s="258"/>
      <c r="F12" s="258"/>
      <c r="G12" s="258"/>
      <c r="H12" s="258"/>
      <c r="I12" s="289"/>
      <c r="J12" s="290"/>
      <c r="K12" s="258"/>
      <c r="L12" s="291"/>
      <c r="M12" s="292"/>
      <c r="N12" s="293"/>
      <c r="O12" s="294"/>
    </row>
    <row r="13" spans="3:16" x14ac:dyDescent="0.3">
      <c r="C13" s="295"/>
      <c r="D13" s="262"/>
      <c r="E13" s="262"/>
      <c r="F13" s="262"/>
      <c r="G13" s="262"/>
      <c r="H13" s="262"/>
      <c r="I13" s="296"/>
      <c r="J13" s="297"/>
      <c r="K13" s="262"/>
      <c r="L13" s="298"/>
      <c r="M13" s="299"/>
      <c r="N13" s="300"/>
      <c r="O13" s="301"/>
    </row>
    <row r="14" spans="3:16" x14ac:dyDescent="0.3">
      <c r="C14" s="295"/>
      <c r="D14" s="262"/>
      <c r="E14" s="262"/>
      <c r="F14" s="262"/>
      <c r="G14" s="262"/>
      <c r="H14" s="262"/>
      <c r="I14" s="296"/>
      <c r="J14" s="297"/>
      <c r="K14" s="262"/>
      <c r="L14" s="298"/>
      <c r="M14" s="299"/>
      <c r="N14" s="300"/>
      <c r="O14" s="301"/>
    </row>
    <row r="15" spans="3:16" x14ac:dyDescent="0.3">
      <c r="C15" s="270">
        <v>0</v>
      </c>
      <c r="D15" s="262" t="s">
        <v>26</v>
      </c>
      <c r="E15" s="262" t="s">
        <v>26</v>
      </c>
      <c r="F15" s="262" t="s">
        <v>26</v>
      </c>
      <c r="G15" s="296" t="s">
        <v>26</v>
      </c>
      <c r="H15" s="262" t="s">
        <v>26</v>
      </c>
      <c r="I15" s="262" t="s">
        <v>26</v>
      </c>
      <c r="J15" s="262">
        <v>0</v>
      </c>
      <c r="K15" s="262">
        <v>0</v>
      </c>
      <c r="L15" s="262">
        <v>0</v>
      </c>
      <c r="M15" s="296">
        <v>0</v>
      </c>
      <c r="N15" s="297">
        <v>0</v>
      </c>
      <c r="O15" s="263">
        <v>0</v>
      </c>
    </row>
    <row r="16" spans="3:16" x14ac:dyDescent="0.3">
      <c r="C16" s="270">
        <v>0</v>
      </c>
      <c r="D16" s="262" t="s">
        <v>26</v>
      </c>
      <c r="E16" s="262" t="s">
        <v>26</v>
      </c>
      <c r="F16" s="262" t="s">
        <v>26</v>
      </c>
      <c r="G16" s="296"/>
      <c r="H16" s="262"/>
      <c r="I16" s="262"/>
      <c r="J16" s="262"/>
      <c r="K16" s="262"/>
      <c r="L16" s="262"/>
      <c r="M16" s="262"/>
      <c r="N16" s="262"/>
      <c r="O16" s="263"/>
    </row>
    <row r="17" spans="3:15" x14ac:dyDescent="0.3">
      <c r="C17" s="270"/>
      <c r="D17" s="262"/>
      <c r="E17" s="262"/>
      <c r="F17" s="262" t="s">
        <v>26</v>
      </c>
      <c r="G17" s="296"/>
      <c r="H17" s="262"/>
      <c r="I17" s="262"/>
      <c r="J17" s="262"/>
      <c r="K17" s="262"/>
      <c r="L17" s="262"/>
      <c r="M17" s="262"/>
      <c r="N17" s="262"/>
      <c r="O17" s="263"/>
    </row>
    <row r="18" spans="3:15" x14ac:dyDescent="0.3">
      <c r="C18" s="270"/>
      <c r="D18" s="262"/>
      <c r="E18" s="262"/>
      <c r="F18" s="262" t="s">
        <v>26</v>
      </c>
      <c r="G18" s="296"/>
      <c r="H18" s="262"/>
      <c r="I18" s="262"/>
      <c r="J18" s="262"/>
      <c r="K18" s="262"/>
      <c r="L18" s="262"/>
      <c r="M18" s="262"/>
      <c r="N18" s="262"/>
      <c r="O18" s="263"/>
    </row>
    <row r="19" spans="3:15" x14ac:dyDescent="0.3">
      <c r="C19" s="270"/>
      <c r="D19" s="262"/>
      <c r="E19" s="262"/>
      <c r="F19" s="262" t="s">
        <v>26</v>
      </c>
      <c r="G19" s="296"/>
      <c r="H19" s="262"/>
      <c r="I19" s="262"/>
      <c r="J19" s="262"/>
      <c r="K19" s="262"/>
      <c r="L19" s="262"/>
      <c r="M19" s="262"/>
      <c r="N19" s="262"/>
      <c r="O19" s="263"/>
    </row>
    <row r="20" spans="3:15" x14ac:dyDescent="0.3">
      <c r="C20" s="270"/>
      <c r="D20" s="262"/>
      <c r="E20" s="262"/>
      <c r="F20" s="262" t="s">
        <v>26</v>
      </c>
      <c r="G20" s="296"/>
      <c r="H20" s="262"/>
      <c r="I20" s="262"/>
      <c r="J20" s="262"/>
      <c r="K20" s="262"/>
      <c r="L20" s="262"/>
      <c r="M20" s="262"/>
      <c r="N20" s="262"/>
      <c r="O20" s="263"/>
    </row>
    <row r="21" spans="3:15" ht="17.25" thickBot="1" x14ac:dyDescent="0.35">
      <c r="C21" s="302"/>
      <c r="D21" s="268"/>
      <c r="E21" s="268"/>
      <c r="F21" s="268"/>
      <c r="G21" s="268"/>
      <c r="H21" s="268"/>
      <c r="I21" s="268"/>
      <c r="J21" s="268"/>
      <c r="K21" s="268"/>
      <c r="L21" s="268"/>
      <c r="M21" s="268"/>
      <c r="N21" s="268"/>
      <c r="O21" s="303"/>
    </row>
    <row r="22" spans="3:15" x14ac:dyDescent="0.3">
      <c r="C22" s="256"/>
      <c r="D22" s="256"/>
      <c r="E22" s="256"/>
      <c r="F22" s="256"/>
      <c r="G22" s="256"/>
      <c r="H22" s="256"/>
      <c r="I22" s="256"/>
      <c r="J22" s="256"/>
      <c r="K22" s="256"/>
      <c r="L22" s="256"/>
      <c r="M22" s="256"/>
      <c r="N22" s="256"/>
      <c r="O22" s="256"/>
    </row>
    <row r="23" spans="3:15" x14ac:dyDescent="0.3">
      <c r="C23" s="256"/>
      <c r="D23" s="256"/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6"/>
    </row>
    <row r="24" spans="3:15" x14ac:dyDescent="0.3">
      <c r="C24" s="256"/>
      <c r="D24" s="256"/>
      <c r="E24" s="256"/>
      <c r="F24" s="256"/>
      <c r="G24" s="256"/>
      <c r="H24" s="256"/>
      <c r="I24" s="256"/>
      <c r="J24" s="256"/>
      <c r="K24" s="256"/>
      <c r="L24" s="256"/>
      <c r="M24" s="256"/>
      <c r="N24" s="256"/>
      <c r="O24" s="256"/>
    </row>
    <row r="25" spans="3:15" x14ac:dyDescent="0.3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</row>
    <row r="26" spans="3:15" x14ac:dyDescent="0.3"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</row>
  </sheetData>
  <mergeCells count="3">
    <mergeCell ref="I9:J9"/>
    <mergeCell ref="I11:J11"/>
    <mergeCell ref="C3:D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476"/>
  <sheetViews>
    <sheetView showZeros="0" topLeftCell="A69" zoomScaleNormal="100" workbookViewId="0">
      <selection activeCell="D76" sqref="D76"/>
    </sheetView>
  </sheetViews>
  <sheetFormatPr defaultRowHeight="15" customHeight="1" x14ac:dyDescent="0.25"/>
  <cols>
    <col min="1" max="1" width="9.140625" style="8"/>
    <col min="2" max="2" width="9.140625" customWidth="1"/>
    <col min="3" max="3" width="7.85546875" customWidth="1"/>
    <col min="4" max="4" width="12.42578125" customWidth="1"/>
    <col min="5" max="5" width="11.42578125" customWidth="1"/>
    <col min="7" max="7" width="14.42578125" customWidth="1"/>
    <col min="8" max="8" width="11.5703125" bestFit="1" customWidth="1"/>
    <col min="9" max="9" width="10.85546875" customWidth="1"/>
    <col min="10" max="10" width="11.85546875" customWidth="1"/>
    <col min="11" max="11" width="13.140625" customWidth="1"/>
    <col min="12" max="12" width="16.28515625" customWidth="1"/>
    <col min="13" max="13" width="11.7109375" bestFit="1" customWidth="1"/>
    <col min="14" max="14" width="12" customWidth="1"/>
    <col min="15" max="15" width="12.85546875" customWidth="1"/>
    <col min="42" max="42" width="9.140625" customWidth="1"/>
    <col min="45" max="45" width="9.140625" customWidth="1"/>
    <col min="48" max="48" width="9.140625" customWidth="1"/>
    <col min="51" max="51" width="9.140625" customWidth="1"/>
    <col min="54" max="54" width="9.140625" customWidth="1"/>
    <col min="57" max="57" width="9.140625" customWidth="1"/>
  </cols>
  <sheetData>
    <row r="1" spans="2:37" ht="30" x14ac:dyDescent="0.25">
      <c r="B1" s="22" t="s">
        <v>43</v>
      </c>
      <c r="C1" s="22" t="s">
        <v>44</v>
      </c>
      <c r="D1" s="22"/>
      <c r="E1" s="20" t="s">
        <v>49</v>
      </c>
      <c r="F1" s="20" t="s">
        <v>2</v>
      </c>
      <c r="G1" s="21" t="s">
        <v>45</v>
      </c>
      <c r="H1" s="23" t="s">
        <v>46</v>
      </c>
      <c r="I1" s="23" t="s">
        <v>47</v>
      </c>
      <c r="J1" s="23" t="s">
        <v>48</v>
      </c>
      <c r="K1" s="18" t="s">
        <v>56</v>
      </c>
      <c r="L1" s="18" t="s">
        <v>57</v>
      </c>
      <c r="M1" s="8"/>
      <c r="N1" s="8" t="s">
        <v>70</v>
      </c>
      <c r="O1" s="8"/>
      <c r="P1" s="8"/>
      <c r="Q1" s="8"/>
      <c r="R1" s="19" t="s">
        <v>71</v>
      </c>
      <c r="S1" s="19"/>
      <c r="T1" s="41">
        <f>B17*0.5</f>
        <v>0</v>
      </c>
      <c r="U1" s="19" t="s">
        <v>62</v>
      </c>
      <c r="V1" s="19"/>
      <c r="W1" s="41">
        <f>B17*0.5</f>
        <v>0</v>
      </c>
      <c r="X1" s="28"/>
      <c r="Y1" s="8"/>
      <c r="Z1" s="8" t="s">
        <v>54</v>
      </c>
      <c r="AA1" s="10" t="s">
        <v>59</v>
      </c>
      <c r="AB1" s="10" t="s">
        <v>60</v>
      </c>
      <c r="AC1" s="8"/>
      <c r="AD1" s="8" t="s">
        <v>55</v>
      </c>
      <c r="AE1" s="8" t="s">
        <v>65</v>
      </c>
      <c r="AF1" s="8" t="s">
        <v>60</v>
      </c>
      <c r="AG1" s="8"/>
      <c r="AH1" s="8" t="s">
        <v>72</v>
      </c>
      <c r="AI1" s="8"/>
      <c r="AJ1" s="8"/>
      <c r="AK1" s="8"/>
    </row>
    <row r="2" spans="2:37" x14ac:dyDescent="0.25">
      <c r="B2" s="26">
        <f>'Data Entry'!H17</f>
        <v>0</v>
      </c>
      <c r="C2" s="27">
        <f>IF('Data Entry'!L17="32nds",AJ2,'Data Entry'!I17)</f>
        <v>0</v>
      </c>
      <c r="D2" s="27"/>
      <c r="E2" s="24" t="str">
        <f>'Data Entry'!D17</f>
        <v xml:space="preserve"> </v>
      </c>
      <c r="F2" s="24" t="str">
        <f>'Data Entry'!G17</f>
        <v xml:space="preserve"> </v>
      </c>
      <c r="G2" s="25" t="str">
        <f>LEFT(B2,LEN(B2)-1)</f>
        <v/>
      </c>
      <c r="H2" s="45">
        <f>C2*10</f>
        <v>0</v>
      </c>
      <c r="I2" s="24">
        <f>IF('Data Entry'!D17="BUY",G2*H2,0)</f>
        <v>0</v>
      </c>
      <c r="J2" s="24">
        <f>IF('Data Entry'!D17="Sell",G2*H2,0)</f>
        <v>0</v>
      </c>
      <c r="K2" s="10">
        <f>IF(E2="BUY",G2,0)</f>
        <v>0</v>
      </c>
      <c r="L2" s="10">
        <f>IF(E2="SELL",G2,0)</f>
        <v>0</v>
      </c>
      <c r="M2" s="8"/>
      <c r="N2" s="47" t="s">
        <v>27</v>
      </c>
      <c r="O2" s="49" t="e">
        <f t="shared" ref="O2:O13" si="0">T2+W2</f>
        <v>#DIV/0!</v>
      </c>
      <c r="P2" s="8"/>
      <c r="Q2" s="8"/>
      <c r="R2" s="8" t="s">
        <v>27</v>
      </c>
      <c r="S2" s="43" t="e">
        <f>J17*AA2-AB2</f>
        <v>#DIV/0!</v>
      </c>
      <c r="T2" s="8" t="e">
        <f>S2*0.5</f>
        <v>#DIV/0!</v>
      </c>
      <c r="U2" s="62" t="s">
        <v>27</v>
      </c>
      <c r="V2" s="43" t="e">
        <f>IF(AF2-(AE2*I17)=0,0,AF2-(AE2*I17))</f>
        <v>#DIV/0!</v>
      </c>
      <c r="W2" s="8" t="e">
        <f>V2*0.5</f>
        <v>#DIV/0!</v>
      </c>
      <c r="X2" s="8"/>
      <c r="Y2" s="8"/>
      <c r="Z2" s="47" t="s">
        <v>27</v>
      </c>
      <c r="AA2" s="48">
        <f>C35</f>
        <v>0</v>
      </c>
      <c r="AB2" s="49">
        <f>D35</f>
        <v>0</v>
      </c>
      <c r="AC2" s="8"/>
      <c r="AD2" s="47" t="s">
        <v>27</v>
      </c>
      <c r="AE2" s="48">
        <f>C51</f>
        <v>0</v>
      </c>
      <c r="AF2" s="49">
        <f>D51</f>
        <v>0</v>
      </c>
      <c r="AG2" s="8"/>
      <c r="AH2" s="79" t="e">
        <f>LEFT('Data Entry'!I17,LEN('Data Entry'!I17)-2)</f>
        <v>#VALUE!</v>
      </c>
      <c r="AI2" s="48">
        <f>RIGHT('Data Entry'!I17,2)/32</f>
        <v>0</v>
      </c>
      <c r="AJ2" s="48" t="e">
        <f>AH2+AI2</f>
        <v>#VALUE!</v>
      </c>
      <c r="AK2" s="49" t="e">
        <f>AJ2*10</f>
        <v>#VALUE!</v>
      </c>
    </row>
    <row r="3" spans="2:37" x14ac:dyDescent="0.25">
      <c r="B3" s="26">
        <f>'Data Entry'!H18</f>
        <v>0</v>
      </c>
      <c r="C3" s="27">
        <f>IF('Data Entry'!L18="32nds",AJ3,'Data Entry'!I18)</f>
        <v>0</v>
      </c>
      <c r="D3" s="27"/>
      <c r="E3" s="24" t="str">
        <f>'Data Entry'!D18</f>
        <v xml:space="preserve"> </v>
      </c>
      <c r="F3" s="24" t="str">
        <f>'Data Entry'!G18</f>
        <v xml:space="preserve"> </v>
      </c>
      <c r="G3" s="25" t="str">
        <f>LEFT(B3,LEN(B3)-1)</f>
        <v/>
      </c>
      <c r="H3" s="45">
        <f t="shared" ref="H3:H15" si="1">C3*10</f>
        <v>0</v>
      </c>
      <c r="I3" s="24">
        <f>IF('Data Entry'!D18="BUY",G3*H3,0)</f>
        <v>0</v>
      </c>
      <c r="J3" s="24">
        <f>IF('Data Entry'!D18="Sell",G3*H3,0)</f>
        <v>0</v>
      </c>
      <c r="K3" s="10">
        <f t="shared" ref="K3:K15" si="2">IF(E3="BUY",G3,0)</f>
        <v>0</v>
      </c>
      <c r="L3" s="10">
        <f t="shared" ref="L3:L15" si="3">IF(E3="SELL",G3,0)</f>
        <v>0</v>
      </c>
      <c r="M3" s="8"/>
      <c r="N3" s="50" t="s">
        <v>25</v>
      </c>
      <c r="O3" s="51" t="e">
        <f t="shared" si="0"/>
        <v>#DIV/0!</v>
      </c>
      <c r="P3" s="8"/>
      <c r="Q3" s="8"/>
      <c r="R3" s="8" t="s">
        <v>25</v>
      </c>
      <c r="S3" s="43" t="e">
        <f>J17*AA3-AB3</f>
        <v>#DIV/0!</v>
      </c>
      <c r="T3" s="8" t="e">
        <f t="shared" ref="T3:T13" si="4">S3*0.5</f>
        <v>#DIV/0!</v>
      </c>
      <c r="U3" s="50" t="s">
        <v>25</v>
      </c>
      <c r="V3" s="43" t="e">
        <f>IF(AF3-(AE3*I17)=0,0,AF3-(AE3*I17))</f>
        <v>#DIV/0!</v>
      </c>
      <c r="W3" s="8" t="e">
        <f t="shared" ref="W3:W13" si="5">V3*0.5</f>
        <v>#DIV/0!</v>
      </c>
      <c r="X3" s="8"/>
      <c r="Y3" s="8"/>
      <c r="Z3" s="50" t="s">
        <v>25</v>
      </c>
      <c r="AA3" s="28">
        <f>F35</f>
        <v>0</v>
      </c>
      <c r="AB3" s="51">
        <f>G35</f>
        <v>0</v>
      </c>
      <c r="AC3" s="8"/>
      <c r="AD3" s="50" t="s">
        <v>25</v>
      </c>
      <c r="AE3" s="28">
        <f>F51</f>
        <v>0</v>
      </c>
      <c r="AF3" s="51">
        <f>G51</f>
        <v>0</v>
      </c>
      <c r="AG3" s="8"/>
      <c r="AH3" s="80" t="e">
        <f>LEFT('Data Entry'!I18,LEN('Data Entry'!I18)-2)</f>
        <v>#VALUE!</v>
      </c>
      <c r="AI3" s="28">
        <f>RIGHT('Data Entry'!I18,2)/32</f>
        <v>0</v>
      </c>
      <c r="AJ3" s="28" t="e">
        <f t="shared" ref="AJ3:AJ15" si="6">AH3+AI3</f>
        <v>#VALUE!</v>
      </c>
      <c r="AK3" s="51" t="e">
        <f t="shared" ref="AK3:AK15" si="7">AJ3*10</f>
        <v>#VALUE!</v>
      </c>
    </row>
    <row r="4" spans="2:37" x14ac:dyDescent="0.25">
      <c r="B4" s="26">
        <f>'Data Entry'!H19</f>
        <v>0</v>
      </c>
      <c r="C4" s="27">
        <f>IF('Data Entry'!L19="32nds",AJ4,'Data Entry'!I19)</f>
        <v>0</v>
      </c>
      <c r="D4" s="27"/>
      <c r="E4" s="24" t="str">
        <f>'Data Entry'!D19</f>
        <v xml:space="preserve"> </v>
      </c>
      <c r="F4" s="24" t="str">
        <f>'Data Entry'!G19</f>
        <v xml:space="preserve"> </v>
      </c>
      <c r="G4" s="25" t="str">
        <f>LEFT(B4,LEN(B4)-1)</f>
        <v/>
      </c>
      <c r="H4" s="45">
        <f t="shared" si="1"/>
        <v>0</v>
      </c>
      <c r="I4" s="24">
        <f>IF('Data Entry'!D19="BUY",G4*H4,0)</f>
        <v>0</v>
      </c>
      <c r="J4" s="24">
        <f>IF('Data Entry'!D19="Sell",G4*H4,0)</f>
        <v>0</v>
      </c>
      <c r="K4" s="10">
        <f t="shared" si="2"/>
        <v>0</v>
      </c>
      <c r="L4" s="10">
        <f t="shared" si="3"/>
        <v>0</v>
      </c>
      <c r="M4" s="8"/>
      <c r="N4" s="50" t="s">
        <v>34</v>
      </c>
      <c r="O4" s="51" t="e">
        <f t="shared" si="0"/>
        <v>#DIV/0!</v>
      </c>
      <c r="P4" s="8"/>
      <c r="Q4" s="8"/>
      <c r="R4" s="8" t="s">
        <v>34</v>
      </c>
      <c r="S4" s="43" t="e">
        <f>J17*AA4-AB4</f>
        <v>#DIV/0!</v>
      </c>
      <c r="T4" s="8" t="e">
        <f t="shared" si="4"/>
        <v>#DIV/0!</v>
      </c>
      <c r="U4" s="50" t="s">
        <v>34</v>
      </c>
      <c r="V4" s="43" t="e">
        <f>IF(AF4-(AE4*I17)=0,0,AF4-(AE4*I17))</f>
        <v>#DIV/0!</v>
      </c>
      <c r="W4" s="8" t="e">
        <f t="shared" si="5"/>
        <v>#DIV/0!</v>
      </c>
      <c r="X4" s="8"/>
      <c r="Y4" s="8"/>
      <c r="Z4" s="50" t="s">
        <v>34</v>
      </c>
      <c r="AA4" s="28">
        <f>I35</f>
        <v>0</v>
      </c>
      <c r="AB4" s="51">
        <f>J35</f>
        <v>0</v>
      </c>
      <c r="AC4" s="8"/>
      <c r="AD4" s="50" t="s">
        <v>34</v>
      </c>
      <c r="AE4" s="28">
        <f>I51</f>
        <v>0</v>
      </c>
      <c r="AF4" s="51">
        <f>J51</f>
        <v>0</v>
      </c>
      <c r="AG4" s="8"/>
      <c r="AH4" s="80" t="e">
        <f>LEFT('Data Entry'!I19,LEN('Data Entry'!I19)-2)</f>
        <v>#VALUE!</v>
      </c>
      <c r="AI4" s="28">
        <f>RIGHT('Data Entry'!I19,2)/32</f>
        <v>0</v>
      </c>
      <c r="AJ4" s="28" t="e">
        <f t="shared" si="6"/>
        <v>#VALUE!</v>
      </c>
      <c r="AK4" s="51" t="e">
        <f t="shared" si="7"/>
        <v>#VALUE!</v>
      </c>
    </row>
    <row r="5" spans="2:37" x14ac:dyDescent="0.25">
      <c r="B5" s="26">
        <f>'Data Entry'!H20</f>
        <v>0</v>
      </c>
      <c r="C5" s="27">
        <f>IF('Data Entry'!L20="32nds",AJ5,'Data Entry'!I20)</f>
        <v>0</v>
      </c>
      <c r="D5" s="27"/>
      <c r="E5" s="24" t="str">
        <f>'Data Entry'!D20</f>
        <v xml:space="preserve"> </v>
      </c>
      <c r="F5" s="24" t="str">
        <f>'Data Entry'!G20</f>
        <v xml:space="preserve"> </v>
      </c>
      <c r="G5" s="25" t="str">
        <f>LEFT(B5,LEN(B5)-1)</f>
        <v/>
      </c>
      <c r="H5" s="45">
        <f t="shared" si="1"/>
        <v>0</v>
      </c>
      <c r="I5" s="24">
        <f>IF('Data Entry'!D20="BUY",G5*H5,0)</f>
        <v>0</v>
      </c>
      <c r="J5" s="24">
        <f>IF('Data Entry'!D20="Sell",G5*H5,0)</f>
        <v>0</v>
      </c>
      <c r="K5" s="10">
        <f t="shared" si="2"/>
        <v>0</v>
      </c>
      <c r="L5" s="10">
        <f t="shared" si="3"/>
        <v>0</v>
      </c>
      <c r="M5" s="8"/>
      <c r="N5" s="50" t="s">
        <v>29</v>
      </c>
      <c r="O5" s="51" t="e">
        <f>T5+W5</f>
        <v>#DIV/0!</v>
      </c>
      <c r="P5" s="8"/>
      <c r="Q5" s="8"/>
      <c r="R5" s="8" t="s">
        <v>29</v>
      </c>
      <c r="S5" s="43" t="e">
        <f>J17*AA5-AB5</f>
        <v>#DIV/0!</v>
      </c>
      <c r="T5" s="8" t="e">
        <f t="shared" si="4"/>
        <v>#DIV/0!</v>
      </c>
      <c r="U5" s="50" t="s">
        <v>29</v>
      </c>
      <c r="V5" s="43" t="e">
        <f>IF(AF5-(AE5*I17)=0,0,AF5-(AE5*I17))</f>
        <v>#DIV/0!</v>
      </c>
      <c r="W5" s="8" t="e">
        <f t="shared" si="5"/>
        <v>#DIV/0!</v>
      </c>
      <c r="X5" s="8"/>
      <c r="Y5" s="8"/>
      <c r="Z5" s="50" t="s">
        <v>29</v>
      </c>
      <c r="AA5" s="28">
        <f>L35</f>
        <v>0</v>
      </c>
      <c r="AB5" s="51">
        <f>M35</f>
        <v>0</v>
      </c>
      <c r="AC5" s="8"/>
      <c r="AD5" s="50" t="s">
        <v>29</v>
      </c>
      <c r="AE5" s="28">
        <f>L51</f>
        <v>0</v>
      </c>
      <c r="AF5" s="51">
        <f>M51</f>
        <v>0</v>
      </c>
      <c r="AG5" s="8"/>
      <c r="AH5" s="80" t="e">
        <f>LEFT('Data Entry'!I20,LEN('Data Entry'!I20)-2)</f>
        <v>#VALUE!</v>
      </c>
      <c r="AI5" s="28">
        <f>RIGHT('Data Entry'!I20,2)/32</f>
        <v>0</v>
      </c>
      <c r="AJ5" s="28" t="e">
        <f t="shared" si="6"/>
        <v>#VALUE!</v>
      </c>
      <c r="AK5" s="51" t="e">
        <f t="shared" si="7"/>
        <v>#VALUE!</v>
      </c>
    </row>
    <row r="6" spans="2:37" x14ac:dyDescent="0.25">
      <c r="B6" s="26">
        <f>'Data Entry'!H21</f>
        <v>0</v>
      </c>
      <c r="C6" s="27">
        <f>IF('Data Entry'!L21="32nds",AJ6,'Data Entry'!I21)</f>
        <v>0</v>
      </c>
      <c r="D6" s="27"/>
      <c r="E6" s="24" t="str">
        <f>'Data Entry'!D21</f>
        <v xml:space="preserve"> </v>
      </c>
      <c r="F6" s="24" t="str">
        <f>'Data Entry'!G21</f>
        <v xml:space="preserve"> </v>
      </c>
      <c r="G6" s="25" t="str">
        <f t="shared" ref="G6:G14" si="8">LEFT(B6,LEN(B6)-1)</f>
        <v/>
      </c>
      <c r="H6" s="45">
        <f t="shared" si="1"/>
        <v>0</v>
      </c>
      <c r="I6" s="24">
        <f>IF('Data Entry'!D21="BUY",G6*H6,0)</f>
        <v>0</v>
      </c>
      <c r="J6" s="24">
        <f>IF('Data Entry'!D21="Sell",G6*H6,0)</f>
        <v>0</v>
      </c>
      <c r="K6" s="10">
        <f t="shared" si="2"/>
        <v>0</v>
      </c>
      <c r="L6" s="10">
        <f t="shared" si="3"/>
        <v>0</v>
      </c>
      <c r="M6" s="8"/>
      <c r="N6" s="50" t="s">
        <v>50</v>
      </c>
      <c r="O6" s="51" t="e">
        <f t="shared" si="0"/>
        <v>#DIV/0!</v>
      </c>
      <c r="P6" s="8"/>
      <c r="Q6" s="8"/>
      <c r="R6" s="8" t="s">
        <v>50</v>
      </c>
      <c r="S6" s="43" t="e">
        <f>J17*AA6-AB6</f>
        <v>#DIV/0!</v>
      </c>
      <c r="T6" s="8" t="e">
        <f t="shared" si="4"/>
        <v>#DIV/0!</v>
      </c>
      <c r="U6" s="50" t="s">
        <v>50</v>
      </c>
      <c r="V6" s="43" t="e">
        <f>IF(AF6-(AE6*I17)=0,0,AF6-(AE6*I17))</f>
        <v>#DIV/0!</v>
      </c>
      <c r="W6" s="8" t="e">
        <f t="shared" si="5"/>
        <v>#DIV/0!</v>
      </c>
      <c r="X6" s="8"/>
      <c r="Y6" s="8"/>
      <c r="Z6" s="50" t="s">
        <v>50</v>
      </c>
      <c r="AA6" s="28">
        <f>O35</f>
        <v>0</v>
      </c>
      <c r="AB6" s="51">
        <f>P35</f>
        <v>0</v>
      </c>
      <c r="AC6" s="8"/>
      <c r="AD6" s="50" t="s">
        <v>50</v>
      </c>
      <c r="AE6" s="28">
        <f>O51</f>
        <v>0</v>
      </c>
      <c r="AF6" s="51">
        <f>P51</f>
        <v>0</v>
      </c>
      <c r="AG6" s="8"/>
      <c r="AH6" s="80" t="e">
        <f>LEFT('Data Entry'!I21,LEN('Data Entry'!I21)-2)</f>
        <v>#VALUE!</v>
      </c>
      <c r="AI6" s="28">
        <f>RIGHT('Data Entry'!I21,2)/32</f>
        <v>0</v>
      </c>
      <c r="AJ6" s="28" t="e">
        <f t="shared" si="6"/>
        <v>#VALUE!</v>
      </c>
      <c r="AK6" s="51" t="e">
        <f t="shared" si="7"/>
        <v>#VALUE!</v>
      </c>
    </row>
    <row r="7" spans="2:37" x14ac:dyDescent="0.25">
      <c r="B7" s="26">
        <f>'Data Entry'!H22</f>
        <v>0</v>
      </c>
      <c r="C7" s="27">
        <f>IF('Data Entry'!L22="32nds",AJ7,'Data Entry'!I22)</f>
        <v>0</v>
      </c>
      <c r="D7" s="27"/>
      <c r="E7" s="24" t="str">
        <f>'Data Entry'!D22</f>
        <v xml:space="preserve"> </v>
      </c>
      <c r="F7" s="24" t="str">
        <f>'Data Entry'!G22</f>
        <v xml:space="preserve"> </v>
      </c>
      <c r="G7" s="25" t="str">
        <f t="shared" si="8"/>
        <v/>
      </c>
      <c r="H7" s="45">
        <f t="shared" si="1"/>
        <v>0</v>
      </c>
      <c r="I7" s="24">
        <f>IF('Data Entry'!D22="BUY",G7*H7,0)</f>
        <v>0</v>
      </c>
      <c r="J7" s="24">
        <f>IF('Data Entry'!D22="Sell",G7*H7,0)</f>
        <v>0</v>
      </c>
      <c r="K7" s="10">
        <f t="shared" si="2"/>
        <v>0</v>
      </c>
      <c r="L7" s="10">
        <f t="shared" si="3"/>
        <v>0</v>
      </c>
      <c r="M7" s="8"/>
      <c r="N7" s="50" t="s">
        <v>51</v>
      </c>
      <c r="O7" s="51" t="e">
        <f t="shared" si="0"/>
        <v>#DIV/0!</v>
      </c>
      <c r="P7" s="8"/>
      <c r="Q7" s="8"/>
      <c r="R7" s="8" t="s">
        <v>51</v>
      </c>
      <c r="S7" s="43" t="e">
        <f>J17*AA7-AB7</f>
        <v>#DIV/0!</v>
      </c>
      <c r="T7" s="8" t="e">
        <f t="shared" si="4"/>
        <v>#DIV/0!</v>
      </c>
      <c r="U7" s="50" t="s">
        <v>51</v>
      </c>
      <c r="V7" s="43" t="e">
        <f>IF(AF7-(AE7*I17)=0,0,AF7-(AE7*I17))</f>
        <v>#DIV/0!</v>
      </c>
      <c r="W7" s="8" t="e">
        <f t="shared" si="5"/>
        <v>#DIV/0!</v>
      </c>
      <c r="X7" s="8"/>
      <c r="Y7" s="8"/>
      <c r="Z7" s="50" t="s">
        <v>51</v>
      </c>
      <c r="AA7" s="28">
        <f>R35</f>
        <v>0</v>
      </c>
      <c r="AB7" s="51">
        <f>S35</f>
        <v>0</v>
      </c>
      <c r="AC7" s="8"/>
      <c r="AD7" s="50" t="s">
        <v>51</v>
      </c>
      <c r="AE7" s="28">
        <f>R51</f>
        <v>0</v>
      </c>
      <c r="AF7" s="51">
        <f>S51</f>
        <v>0</v>
      </c>
      <c r="AG7" s="8"/>
      <c r="AH7" s="80" t="e">
        <f>LEFT('Data Entry'!I22,LEN('Data Entry'!I22)-2)</f>
        <v>#VALUE!</v>
      </c>
      <c r="AI7" s="28">
        <f>RIGHT('Data Entry'!I22,2)/32</f>
        <v>0</v>
      </c>
      <c r="AJ7" s="28" t="e">
        <f t="shared" si="6"/>
        <v>#VALUE!</v>
      </c>
      <c r="AK7" s="51" t="e">
        <f t="shared" si="7"/>
        <v>#VALUE!</v>
      </c>
    </row>
    <row r="8" spans="2:37" x14ac:dyDescent="0.25">
      <c r="B8" s="26">
        <f>'Data Entry'!H23</f>
        <v>0</v>
      </c>
      <c r="C8" s="27">
        <f>IF('Data Entry'!L23="32nds",AJ8,'Data Entry'!I23)</f>
        <v>0</v>
      </c>
      <c r="D8" s="27"/>
      <c r="E8" s="24" t="str">
        <f>'Data Entry'!D23</f>
        <v xml:space="preserve"> </v>
      </c>
      <c r="F8" s="24" t="str">
        <f>'Data Entry'!G23</f>
        <v xml:space="preserve"> </v>
      </c>
      <c r="G8" s="25" t="str">
        <f t="shared" si="8"/>
        <v/>
      </c>
      <c r="H8" s="45">
        <f t="shared" si="1"/>
        <v>0</v>
      </c>
      <c r="I8" s="24">
        <f>IF('Data Entry'!D23="BUY",G8*H8,0)</f>
        <v>0</v>
      </c>
      <c r="J8" s="24">
        <f>IF('Data Entry'!D23="Sell",G8*H8,0)</f>
        <v>0</v>
      </c>
      <c r="K8" s="10">
        <f t="shared" si="2"/>
        <v>0</v>
      </c>
      <c r="L8" s="10">
        <f t="shared" si="3"/>
        <v>0</v>
      </c>
      <c r="M8" s="8"/>
      <c r="N8" s="50" t="s">
        <v>52</v>
      </c>
      <c r="O8" s="51" t="e">
        <f t="shared" si="0"/>
        <v>#DIV/0!</v>
      </c>
      <c r="P8" s="8"/>
      <c r="Q8" s="8"/>
      <c r="R8" s="8" t="s">
        <v>52</v>
      </c>
      <c r="S8" s="43" t="e">
        <f>J17*AA8-AB8</f>
        <v>#DIV/0!</v>
      </c>
      <c r="T8" s="8" t="e">
        <f t="shared" si="4"/>
        <v>#DIV/0!</v>
      </c>
      <c r="U8" s="50" t="s">
        <v>52</v>
      </c>
      <c r="V8" s="43" t="e">
        <f>IF(AF8-(AE8*I17)=0,0,AF8-(AE8*I17))</f>
        <v>#DIV/0!</v>
      </c>
      <c r="W8" s="8" t="e">
        <f t="shared" si="5"/>
        <v>#DIV/0!</v>
      </c>
      <c r="X8" s="8"/>
      <c r="Y8" s="8"/>
      <c r="Z8" s="50" t="s">
        <v>52</v>
      </c>
      <c r="AA8" s="28">
        <f>U35</f>
        <v>0</v>
      </c>
      <c r="AB8" s="51">
        <f>V35</f>
        <v>0</v>
      </c>
      <c r="AC8" s="8"/>
      <c r="AD8" s="50" t="s">
        <v>52</v>
      </c>
      <c r="AE8" s="28">
        <f>U51</f>
        <v>0</v>
      </c>
      <c r="AF8" s="51">
        <f>V51</f>
        <v>0</v>
      </c>
      <c r="AG8" s="8"/>
      <c r="AH8" s="80" t="e">
        <f>LEFT('Data Entry'!I23,LEN('Data Entry'!I23)-2)</f>
        <v>#VALUE!</v>
      </c>
      <c r="AI8" s="28">
        <f>RIGHT('Data Entry'!I23,2)/32</f>
        <v>0</v>
      </c>
      <c r="AJ8" s="28" t="e">
        <f t="shared" si="6"/>
        <v>#VALUE!</v>
      </c>
      <c r="AK8" s="51" t="e">
        <f t="shared" si="7"/>
        <v>#VALUE!</v>
      </c>
    </row>
    <row r="9" spans="2:37" x14ac:dyDescent="0.25">
      <c r="B9" s="26">
        <f>'Data Entry'!H24</f>
        <v>0</v>
      </c>
      <c r="C9" s="27">
        <f>IF('Data Entry'!L24="32nds",AJ9,'Data Entry'!I24)</f>
        <v>0</v>
      </c>
      <c r="D9" s="27"/>
      <c r="E9" s="24" t="str">
        <f>'Data Entry'!D24</f>
        <v xml:space="preserve"> </v>
      </c>
      <c r="F9" s="24" t="str">
        <f>'Data Entry'!G24</f>
        <v xml:space="preserve"> </v>
      </c>
      <c r="G9" s="25" t="str">
        <f t="shared" si="8"/>
        <v/>
      </c>
      <c r="H9" s="45">
        <f>C9*10</f>
        <v>0</v>
      </c>
      <c r="I9" s="24">
        <f>IF('Data Entry'!D24="BUY",G9*H9,0)</f>
        <v>0</v>
      </c>
      <c r="J9" s="24">
        <f>IF('Data Entry'!D24="Sell",G9*H9,0)</f>
        <v>0</v>
      </c>
      <c r="K9" s="10">
        <f t="shared" si="2"/>
        <v>0</v>
      </c>
      <c r="L9" s="10">
        <f t="shared" si="3"/>
        <v>0</v>
      </c>
      <c r="M9" s="8"/>
      <c r="N9" s="50" t="s">
        <v>30</v>
      </c>
      <c r="O9" s="51" t="e">
        <f t="shared" si="0"/>
        <v>#DIV/0!</v>
      </c>
      <c r="P9" s="8"/>
      <c r="Q9" s="8"/>
      <c r="R9" s="8" t="s">
        <v>30</v>
      </c>
      <c r="S9" s="43" t="e">
        <f>J17*AA9-AB9</f>
        <v>#DIV/0!</v>
      </c>
      <c r="T9" s="8" t="e">
        <f t="shared" si="4"/>
        <v>#DIV/0!</v>
      </c>
      <c r="U9" s="50" t="s">
        <v>30</v>
      </c>
      <c r="V9" s="43" t="e">
        <f>IF(AF9-(AE9*I17)=0,0,AF9-(AE9*I17))</f>
        <v>#DIV/0!</v>
      </c>
      <c r="W9" s="8" t="e">
        <f t="shared" si="5"/>
        <v>#DIV/0!</v>
      </c>
      <c r="X9" s="8"/>
      <c r="Y9" s="8"/>
      <c r="Z9" s="50" t="s">
        <v>30</v>
      </c>
      <c r="AA9" s="28">
        <f>X35</f>
        <v>0</v>
      </c>
      <c r="AB9" s="51">
        <f>Y35</f>
        <v>0</v>
      </c>
      <c r="AC9" s="8"/>
      <c r="AD9" s="50" t="s">
        <v>30</v>
      </c>
      <c r="AE9" s="28">
        <f>X51</f>
        <v>0</v>
      </c>
      <c r="AF9" s="51">
        <f>Y51</f>
        <v>0</v>
      </c>
      <c r="AG9" s="8"/>
      <c r="AH9" s="80" t="e">
        <f>LEFT('Data Entry'!I24,LEN('Data Entry'!I24)-2)</f>
        <v>#VALUE!</v>
      </c>
      <c r="AI9" s="28">
        <f>RIGHT('Data Entry'!I24,2)/32</f>
        <v>0</v>
      </c>
      <c r="AJ9" s="28" t="e">
        <f t="shared" si="6"/>
        <v>#VALUE!</v>
      </c>
      <c r="AK9" s="51" t="e">
        <f t="shared" si="7"/>
        <v>#VALUE!</v>
      </c>
    </row>
    <row r="10" spans="2:37" x14ac:dyDescent="0.25">
      <c r="B10" s="26">
        <f>'Data Entry'!H25</f>
        <v>0</v>
      </c>
      <c r="C10" s="27">
        <f>IF('Data Entry'!L25="32nds",AJ10,'Data Entry'!I25)</f>
        <v>0</v>
      </c>
      <c r="D10" s="27"/>
      <c r="E10" s="24" t="str">
        <f>'Data Entry'!D25</f>
        <v xml:space="preserve"> </v>
      </c>
      <c r="F10" s="24" t="str">
        <f>'Data Entry'!G25</f>
        <v xml:space="preserve"> </v>
      </c>
      <c r="G10" s="25" t="str">
        <f t="shared" si="8"/>
        <v/>
      </c>
      <c r="H10" s="45">
        <f t="shared" si="1"/>
        <v>0</v>
      </c>
      <c r="I10" s="24">
        <f>IF('Data Entry'!D25="BUY",G10*H10,0)</f>
        <v>0</v>
      </c>
      <c r="J10" s="24">
        <f>IF('Data Entry'!D25="Sell",G10*H10,0)</f>
        <v>0</v>
      </c>
      <c r="K10" s="10">
        <f t="shared" si="2"/>
        <v>0</v>
      </c>
      <c r="L10" s="10">
        <f t="shared" si="3"/>
        <v>0</v>
      </c>
      <c r="M10" s="8"/>
      <c r="N10" s="50" t="s">
        <v>53</v>
      </c>
      <c r="O10" s="51" t="e">
        <f t="shared" si="0"/>
        <v>#DIV/0!</v>
      </c>
      <c r="P10" s="8"/>
      <c r="Q10" s="8"/>
      <c r="R10" s="8" t="s">
        <v>53</v>
      </c>
      <c r="S10" s="43" t="e">
        <f>J17*AA10-AB10</f>
        <v>#DIV/0!</v>
      </c>
      <c r="T10" s="8" t="e">
        <f t="shared" si="4"/>
        <v>#DIV/0!</v>
      </c>
      <c r="U10" s="50" t="s">
        <v>53</v>
      </c>
      <c r="V10" s="43" t="e">
        <f>IF(AF10-(AE10*I17)=0,0,AF10-(AE10*I17))</f>
        <v>#DIV/0!</v>
      </c>
      <c r="W10" s="8" t="e">
        <f t="shared" si="5"/>
        <v>#DIV/0!</v>
      </c>
      <c r="X10" s="8"/>
      <c r="Y10" s="8"/>
      <c r="Z10" s="50" t="s">
        <v>53</v>
      </c>
      <c r="AA10" s="28">
        <f>AA35</f>
        <v>0</v>
      </c>
      <c r="AB10" s="51">
        <f>AB35</f>
        <v>0</v>
      </c>
      <c r="AC10" s="8"/>
      <c r="AD10" s="50" t="s">
        <v>53</v>
      </c>
      <c r="AE10" s="28">
        <f>AA51</f>
        <v>0</v>
      </c>
      <c r="AF10" s="51">
        <f>AB51</f>
        <v>0</v>
      </c>
      <c r="AG10" s="8"/>
      <c r="AH10" s="80" t="e">
        <f>LEFT('Data Entry'!I25,LEN('Data Entry'!I25)-2)</f>
        <v>#VALUE!</v>
      </c>
      <c r="AI10" s="28">
        <f>RIGHT('Data Entry'!I25,2)/32</f>
        <v>0</v>
      </c>
      <c r="AJ10" s="28" t="e">
        <f t="shared" si="6"/>
        <v>#VALUE!</v>
      </c>
      <c r="AK10" s="51" t="e">
        <f t="shared" si="7"/>
        <v>#VALUE!</v>
      </c>
    </row>
    <row r="11" spans="2:37" x14ac:dyDescent="0.25">
      <c r="B11" s="26">
        <f>'Data Entry'!H26</f>
        <v>0</v>
      </c>
      <c r="C11" s="27">
        <f>IF('Data Entry'!L26="32nds",AJ11,'Data Entry'!I26)</f>
        <v>0</v>
      </c>
      <c r="D11" s="27"/>
      <c r="E11" s="24" t="str">
        <f>'Data Entry'!D26</f>
        <v xml:space="preserve"> </v>
      </c>
      <c r="F11" s="24" t="str">
        <f>'Data Entry'!G26</f>
        <v xml:space="preserve"> </v>
      </c>
      <c r="G11" s="25" t="str">
        <f t="shared" si="8"/>
        <v/>
      </c>
      <c r="H11" s="45">
        <f t="shared" si="1"/>
        <v>0</v>
      </c>
      <c r="I11" s="24">
        <f>IF('Data Entry'!D26="BUY",G11*H11,0)</f>
        <v>0</v>
      </c>
      <c r="J11" s="24">
        <f>IF('Data Entry'!D26="Sell",G11*H11,0)</f>
        <v>0</v>
      </c>
      <c r="K11" s="10">
        <f t="shared" si="2"/>
        <v>0</v>
      </c>
      <c r="L11" s="10">
        <f t="shared" si="3"/>
        <v>0</v>
      </c>
      <c r="M11" s="8"/>
      <c r="N11" s="50" t="s">
        <v>31</v>
      </c>
      <c r="O11" s="51" t="e">
        <f t="shared" si="0"/>
        <v>#DIV/0!</v>
      </c>
      <c r="P11" s="8"/>
      <c r="Q11" s="8"/>
      <c r="R11" s="8" t="s">
        <v>31</v>
      </c>
      <c r="S11" s="43" t="e">
        <f>J17*AA11-AB11</f>
        <v>#DIV/0!</v>
      </c>
      <c r="T11" s="8" t="e">
        <f t="shared" si="4"/>
        <v>#DIV/0!</v>
      </c>
      <c r="U11" s="50" t="s">
        <v>31</v>
      </c>
      <c r="V11" s="43" t="e">
        <f>IF(AF11-(AE11*I17)=0,0,AF11-(AE11*I17))</f>
        <v>#DIV/0!</v>
      </c>
      <c r="W11" s="8" t="e">
        <f t="shared" si="5"/>
        <v>#DIV/0!</v>
      </c>
      <c r="X11" s="8"/>
      <c r="Y11" s="8"/>
      <c r="Z11" s="50" t="s">
        <v>31</v>
      </c>
      <c r="AA11" s="28">
        <f>AD35</f>
        <v>0</v>
      </c>
      <c r="AB11" s="51">
        <f>AE35</f>
        <v>0</v>
      </c>
      <c r="AC11" s="8"/>
      <c r="AD11" s="50" t="s">
        <v>31</v>
      </c>
      <c r="AE11" s="28">
        <f>AD51</f>
        <v>0</v>
      </c>
      <c r="AF11" s="51">
        <f>AE51</f>
        <v>0</v>
      </c>
      <c r="AG11" s="8"/>
      <c r="AH11" s="80" t="e">
        <f>LEFT('Data Entry'!I26,LEN('Data Entry'!I26)-2)</f>
        <v>#VALUE!</v>
      </c>
      <c r="AI11" s="28">
        <f>RIGHT('Data Entry'!I26,2)/32</f>
        <v>0</v>
      </c>
      <c r="AJ11" s="28" t="e">
        <f t="shared" si="6"/>
        <v>#VALUE!</v>
      </c>
      <c r="AK11" s="51" t="e">
        <f t="shared" si="7"/>
        <v>#VALUE!</v>
      </c>
    </row>
    <row r="12" spans="2:37" x14ac:dyDescent="0.25">
      <c r="B12" s="26">
        <f>'Data Entry'!H27</f>
        <v>0</v>
      </c>
      <c r="C12" s="27">
        <f>IF('Data Entry'!L27="32nds",AJ12,'Data Entry'!I27)</f>
        <v>0</v>
      </c>
      <c r="D12" s="27"/>
      <c r="E12" s="24" t="str">
        <f>'Data Entry'!D27</f>
        <v xml:space="preserve"> </v>
      </c>
      <c r="F12" s="24" t="str">
        <f>'Data Entry'!G27</f>
        <v xml:space="preserve"> </v>
      </c>
      <c r="G12" s="25" t="str">
        <f t="shared" si="8"/>
        <v/>
      </c>
      <c r="H12" s="45">
        <f t="shared" si="1"/>
        <v>0</v>
      </c>
      <c r="I12" s="24">
        <f>IF('Data Entry'!D27="BUY",G12*H12,0)</f>
        <v>0</v>
      </c>
      <c r="J12" s="24">
        <f>IF('Data Entry'!D27="Sell",G12*H12,0)</f>
        <v>0</v>
      </c>
      <c r="K12" s="10">
        <f t="shared" si="2"/>
        <v>0</v>
      </c>
      <c r="L12" s="10">
        <f t="shared" si="3"/>
        <v>0</v>
      </c>
      <c r="M12" s="8"/>
      <c r="N12" s="50" t="s">
        <v>33</v>
      </c>
      <c r="O12" s="51" t="e">
        <f t="shared" si="0"/>
        <v>#DIV/0!</v>
      </c>
      <c r="P12" s="8"/>
      <c r="Q12" s="8"/>
      <c r="R12" s="8" t="s">
        <v>33</v>
      </c>
      <c r="S12" s="43" t="e">
        <f>J17*AA12-AB12</f>
        <v>#DIV/0!</v>
      </c>
      <c r="T12" s="8" t="e">
        <f t="shared" si="4"/>
        <v>#DIV/0!</v>
      </c>
      <c r="U12" s="50" t="s">
        <v>33</v>
      </c>
      <c r="V12" s="43" t="e">
        <f>IF(AF12-(AE12*I17)=0,0,AF12-(AE12*I17))</f>
        <v>#DIV/0!</v>
      </c>
      <c r="W12" s="8" t="e">
        <f t="shared" si="5"/>
        <v>#DIV/0!</v>
      </c>
      <c r="X12" s="8"/>
      <c r="Y12" s="8"/>
      <c r="Z12" s="50" t="s">
        <v>33</v>
      </c>
      <c r="AA12" s="28">
        <f>AG35</f>
        <v>0</v>
      </c>
      <c r="AB12" s="51">
        <f>AH35</f>
        <v>0</v>
      </c>
      <c r="AC12" s="8"/>
      <c r="AD12" s="50" t="s">
        <v>33</v>
      </c>
      <c r="AE12" s="28">
        <f>AG51</f>
        <v>0</v>
      </c>
      <c r="AF12" s="51">
        <f>AH51</f>
        <v>0</v>
      </c>
      <c r="AG12" s="8"/>
      <c r="AH12" s="80" t="e">
        <f>LEFT('Data Entry'!I27,LEN('Data Entry'!I27)-2)</f>
        <v>#VALUE!</v>
      </c>
      <c r="AI12" s="28">
        <f>RIGHT('Data Entry'!I27,2)/32</f>
        <v>0</v>
      </c>
      <c r="AJ12" s="28" t="e">
        <f t="shared" si="6"/>
        <v>#VALUE!</v>
      </c>
      <c r="AK12" s="51" t="e">
        <f t="shared" si="7"/>
        <v>#VALUE!</v>
      </c>
    </row>
    <row r="13" spans="2:37" x14ac:dyDescent="0.25">
      <c r="B13" s="26">
        <f>'Data Entry'!H28</f>
        <v>0</v>
      </c>
      <c r="C13" s="27">
        <f>IF('Data Entry'!L28="32nds",AJ13,'Data Entry'!I28)</f>
        <v>0</v>
      </c>
      <c r="D13" s="25"/>
      <c r="E13" s="24" t="str">
        <f>'Data Entry'!D28</f>
        <v xml:space="preserve"> </v>
      </c>
      <c r="F13" s="24" t="str">
        <f>'Data Entry'!G28</f>
        <v xml:space="preserve"> </v>
      </c>
      <c r="G13" s="25" t="str">
        <f t="shared" si="8"/>
        <v/>
      </c>
      <c r="H13" s="45">
        <f t="shared" si="1"/>
        <v>0</v>
      </c>
      <c r="I13" s="24">
        <f>IF('Data Entry'!D28="BUY",G13*H13,0)</f>
        <v>0</v>
      </c>
      <c r="J13" s="24">
        <f>IF('Data Entry'!D28="Sell",G13*H13,0)</f>
        <v>0</v>
      </c>
      <c r="K13" s="10">
        <f t="shared" si="2"/>
        <v>0</v>
      </c>
      <c r="L13" s="10">
        <f t="shared" si="3"/>
        <v>0</v>
      </c>
      <c r="M13" s="8"/>
      <c r="N13" s="52" t="s">
        <v>32</v>
      </c>
      <c r="O13" s="53" t="e">
        <f t="shared" si="0"/>
        <v>#DIV/0!</v>
      </c>
      <c r="P13" s="8"/>
      <c r="Q13" s="8"/>
      <c r="R13" s="8" t="s">
        <v>32</v>
      </c>
      <c r="S13" s="43" t="e">
        <f>J17*AA13-AB13</f>
        <v>#DIV/0!</v>
      </c>
      <c r="T13" s="8" t="e">
        <f t="shared" si="4"/>
        <v>#DIV/0!</v>
      </c>
      <c r="U13" s="50" t="s">
        <v>32</v>
      </c>
      <c r="V13" s="43" t="e">
        <f>IF(AF13-(AE13*I17)=0,0,AF13-(AE13*I17))</f>
        <v>#DIV/0!</v>
      </c>
      <c r="W13" s="8" t="e">
        <f t="shared" si="5"/>
        <v>#DIV/0!</v>
      </c>
      <c r="X13" s="8"/>
      <c r="Y13" s="8"/>
      <c r="Z13" s="52" t="s">
        <v>32</v>
      </c>
      <c r="AA13" s="46">
        <f>AJ35</f>
        <v>0</v>
      </c>
      <c r="AB13" s="53">
        <f>AK35</f>
        <v>0</v>
      </c>
      <c r="AC13" s="8"/>
      <c r="AD13" s="52" t="s">
        <v>32</v>
      </c>
      <c r="AE13" s="46">
        <f>AJ51</f>
        <v>0</v>
      </c>
      <c r="AF13" s="53">
        <f>AK51</f>
        <v>0</v>
      </c>
      <c r="AG13" s="8"/>
      <c r="AH13" s="80" t="e">
        <f>LEFT('Data Entry'!I28,LEN('Data Entry'!I28)-2)</f>
        <v>#VALUE!</v>
      </c>
      <c r="AI13" s="28">
        <f>RIGHT('Data Entry'!I28,2)/32</f>
        <v>0</v>
      </c>
      <c r="AJ13" s="28" t="e">
        <f t="shared" si="6"/>
        <v>#VALUE!</v>
      </c>
      <c r="AK13" s="51" t="e">
        <f t="shared" si="7"/>
        <v>#VALUE!</v>
      </c>
    </row>
    <row r="14" spans="2:37" x14ac:dyDescent="0.25">
      <c r="B14" s="26">
        <f>'Data Entry'!H29</f>
        <v>0</v>
      </c>
      <c r="C14" s="27">
        <f>IF('Data Entry'!L29="32nds",AJ14,'Data Entry'!I29)</f>
        <v>0</v>
      </c>
      <c r="D14" s="9"/>
      <c r="E14" s="24" t="str">
        <f>'Data Entry'!D29</f>
        <v xml:space="preserve"> </v>
      </c>
      <c r="F14" s="24" t="str">
        <f>'Data Entry'!G29</f>
        <v xml:space="preserve"> </v>
      </c>
      <c r="G14" s="25" t="str">
        <f t="shared" si="8"/>
        <v/>
      </c>
      <c r="H14" s="45">
        <f t="shared" si="1"/>
        <v>0</v>
      </c>
      <c r="I14" s="24">
        <f>IF('Data Entry'!D29="BUY",G14*H14,0)</f>
        <v>0</v>
      </c>
      <c r="J14" s="24">
        <f>IF('Data Entry'!D29="Sell",G14*H14,0)</f>
        <v>0</v>
      </c>
      <c r="K14" s="10">
        <f t="shared" si="2"/>
        <v>0</v>
      </c>
      <c r="L14" s="10">
        <f t="shared" si="3"/>
        <v>0</v>
      </c>
      <c r="M14" s="8"/>
      <c r="N14" s="8"/>
      <c r="O14" s="8"/>
      <c r="P14" s="8"/>
      <c r="Q14" s="8"/>
      <c r="R14" s="8"/>
      <c r="S14" s="43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0" t="e">
        <f>LEFT('Data Entry'!I29,LEN('Data Entry'!I29)-2)</f>
        <v>#VALUE!</v>
      </c>
      <c r="AI14" s="28">
        <f>RIGHT('Data Entry'!I29,2)/32</f>
        <v>0</v>
      </c>
      <c r="AJ14" s="28" t="e">
        <f t="shared" si="6"/>
        <v>#VALUE!</v>
      </c>
      <c r="AK14" s="51" t="e">
        <f t="shared" si="7"/>
        <v>#VALUE!</v>
      </c>
    </row>
    <row r="15" spans="2:37" x14ac:dyDescent="0.25">
      <c r="B15" s="26">
        <f>'Data Entry'!H30</f>
        <v>0</v>
      </c>
      <c r="C15" s="27">
        <f>IF('Data Entry'!L30="32nds",AJ15,'Data Entry'!I30)</f>
        <v>0</v>
      </c>
      <c r="D15" s="9"/>
      <c r="E15" s="24" t="str">
        <f>'Data Entry'!D30</f>
        <v xml:space="preserve"> </v>
      </c>
      <c r="F15" s="24" t="str">
        <f>'Data Entry'!G30</f>
        <v xml:space="preserve"> </v>
      </c>
      <c r="G15" s="9"/>
      <c r="H15" s="45">
        <f t="shared" si="1"/>
        <v>0</v>
      </c>
      <c r="I15" s="24">
        <f>IF('Data Entry'!D30="BUY",G15*H15,0)</f>
        <v>0</v>
      </c>
      <c r="J15" s="24">
        <f>IF('Data Entry'!D30="Sell",G15*H15,0)</f>
        <v>0</v>
      </c>
      <c r="K15" s="56">
        <f t="shared" si="2"/>
        <v>0</v>
      </c>
      <c r="L15" s="56">
        <f t="shared" si="3"/>
        <v>0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1" t="e">
        <f>LEFT('Data Entry'!I30,LEN('Data Entry'!I30)-2)</f>
        <v>#VALUE!</v>
      </c>
      <c r="AI15" s="46">
        <f>RIGHT('Data Entry'!I30,2)/32</f>
        <v>0</v>
      </c>
      <c r="AJ15" s="46" t="e">
        <f t="shared" si="6"/>
        <v>#VALUE!</v>
      </c>
      <c r="AK15" s="53" t="e">
        <f t="shared" si="7"/>
        <v>#VALUE!</v>
      </c>
    </row>
    <row r="16" spans="2:37" ht="17.25" x14ac:dyDescent="0.3">
      <c r="B16" s="321" t="s">
        <v>36</v>
      </c>
      <c r="C16" s="322"/>
      <c r="D16" s="322" t="s">
        <v>66</v>
      </c>
      <c r="E16" s="322"/>
      <c r="F16" s="323" t="s">
        <v>67</v>
      </c>
      <c r="G16" s="324"/>
      <c r="H16" s="48" t="s">
        <v>70</v>
      </c>
      <c r="I16" s="48">
        <f>SUM(I2:I15)</f>
        <v>0</v>
      </c>
      <c r="J16" s="48">
        <f>SUM(J2:J15)</f>
        <v>0</v>
      </c>
      <c r="K16" s="57">
        <f>K2+K3+K4+K5+K6+K7+K8+K9+K10+K11+K12+K13+K14+K15</f>
        <v>0</v>
      </c>
      <c r="L16" s="58">
        <f>L2+L3+L4+L5+L6+L7+L8+L9+L10+L11+L12+L13+L14+L15</f>
        <v>0</v>
      </c>
      <c r="M16" s="8" t="s">
        <v>26</v>
      </c>
      <c r="N16" s="44"/>
      <c r="O16" s="44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</row>
    <row r="17" spans="2:37" x14ac:dyDescent="0.25">
      <c r="B17" s="61">
        <f>SUM(J2:J15)-SUM(I2:I15)</f>
        <v>0</v>
      </c>
      <c r="C17" s="34"/>
      <c r="D17" s="34" t="e">
        <f>E64</f>
        <v>#DIV/0!</v>
      </c>
      <c r="E17" s="35"/>
      <c r="F17" s="319" t="e">
        <f>IF(B17-D17=0,"No Problems","Commission ERROR!!")</f>
        <v>#DIV/0!</v>
      </c>
      <c r="G17" s="320"/>
      <c r="H17" s="59" t="s">
        <v>64</v>
      </c>
      <c r="I17" s="59" t="e">
        <f>I16/K16</f>
        <v>#DIV/0!</v>
      </c>
      <c r="J17" s="60" t="e">
        <f>J16/L16</f>
        <v>#DIV/0!</v>
      </c>
      <c r="K17" s="46"/>
      <c r="L17" s="53"/>
      <c r="M17" s="8"/>
      <c r="N17" s="44"/>
      <c r="O17" s="44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</row>
    <row r="18" spans="2:37" ht="17.25" x14ac:dyDescent="0.3">
      <c r="B18" s="321" t="s">
        <v>68</v>
      </c>
      <c r="C18" s="322"/>
      <c r="D18" s="323" t="s">
        <v>69</v>
      </c>
      <c r="E18" s="323"/>
      <c r="F18" s="323" t="s">
        <v>67</v>
      </c>
      <c r="G18" s="324"/>
      <c r="H18" s="28"/>
      <c r="I18" s="28"/>
      <c r="J18" s="28"/>
      <c r="K18" s="8"/>
      <c r="L18" s="8"/>
      <c r="M18" s="8"/>
      <c r="N18" s="44"/>
      <c r="O18" s="44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</row>
    <row r="19" spans="2:37" ht="15.75" thickBot="1" x14ac:dyDescent="0.3">
      <c r="B19" s="61">
        <f>K16</f>
        <v>0</v>
      </c>
      <c r="C19" s="34" t="s">
        <v>26</v>
      </c>
      <c r="D19" s="35">
        <f>L16</f>
        <v>0</v>
      </c>
      <c r="E19" s="35"/>
      <c r="F19" s="317" t="str">
        <f>IF(B19-D19=0,"No Problems","Quantity Error!!!!")</f>
        <v>No Problems</v>
      </c>
      <c r="G19" s="318"/>
      <c r="H19" s="28"/>
      <c r="I19" s="28"/>
      <c r="J19" s="28"/>
      <c r="K19" s="8"/>
      <c r="L19" s="8"/>
      <c r="M19" s="8"/>
      <c r="N19" s="44"/>
      <c r="O19" s="44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</row>
    <row r="20" spans="2:37" x14ac:dyDescent="0.25">
      <c r="B20" s="64"/>
      <c r="C20" s="65"/>
      <c r="D20" s="66"/>
      <c r="E20" s="66"/>
      <c r="F20" s="66"/>
      <c r="G20" s="66"/>
      <c r="H20" s="67"/>
      <c r="I20" s="67"/>
      <c r="J20" s="67"/>
      <c r="K20" s="67"/>
      <c r="L20" s="67"/>
      <c r="M20" s="67"/>
      <c r="N20" s="68"/>
      <c r="O20" s="68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</row>
    <row r="21" spans="2:37" x14ac:dyDescent="0.25">
      <c r="B21" s="69" t="s">
        <v>54</v>
      </c>
      <c r="C21" s="9" t="s">
        <v>26</v>
      </c>
      <c r="D21" s="9"/>
      <c r="E21" s="28"/>
      <c r="F21" s="28"/>
      <c r="G21" s="9"/>
      <c r="H21" s="28"/>
      <c r="I21" s="28"/>
      <c r="J21" s="28"/>
      <c r="K21" s="28"/>
      <c r="L21" s="28"/>
      <c r="M21" s="28"/>
      <c r="N21" s="70"/>
      <c r="O21" s="70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spans="2:37" x14ac:dyDescent="0.25">
      <c r="B22" s="69" t="s">
        <v>58</v>
      </c>
      <c r="C22" s="9" t="s">
        <v>59</v>
      </c>
      <c r="D22" s="9" t="s">
        <v>60</v>
      </c>
      <c r="E22" s="35" t="s">
        <v>58</v>
      </c>
      <c r="F22" s="35" t="s">
        <v>59</v>
      </c>
      <c r="G22" s="35" t="s">
        <v>60</v>
      </c>
      <c r="H22" s="35" t="s">
        <v>58</v>
      </c>
      <c r="I22" s="35" t="s">
        <v>59</v>
      </c>
      <c r="J22" s="35" t="s">
        <v>60</v>
      </c>
      <c r="K22" s="35" t="s">
        <v>58</v>
      </c>
      <c r="L22" s="35" t="s">
        <v>59</v>
      </c>
      <c r="M22" s="35" t="s">
        <v>60</v>
      </c>
      <c r="N22" s="35" t="s">
        <v>58</v>
      </c>
      <c r="O22" s="35" t="s">
        <v>59</v>
      </c>
      <c r="P22" s="35" t="s">
        <v>60</v>
      </c>
      <c r="Q22" s="35" t="s">
        <v>58</v>
      </c>
      <c r="R22" s="35" t="s">
        <v>59</v>
      </c>
      <c r="S22" s="35" t="s">
        <v>60</v>
      </c>
      <c r="T22" s="35" t="s">
        <v>58</v>
      </c>
      <c r="U22" s="35" t="s">
        <v>59</v>
      </c>
      <c r="V22" s="35" t="s">
        <v>60</v>
      </c>
      <c r="W22" s="35" t="s">
        <v>58</v>
      </c>
      <c r="X22" s="35" t="s">
        <v>59</v>
      </c>
      <c r="Y22" s="35" t="s">
        <v>60</v>
      </c>
      <c r="Z22" s="35" t="s">
        <v>58</v>
      </c>
      <c r="AA22" s="35" t="s">
        <v>59</v>
      </c>
      <c r="AB22" s="35" t="s">
        <v>60</v>
      </c>
      <c r="AC22" s="35" t="s">
        <v>58</v>
      </c>
      <c r="AD22" s="35" t="s">
        <v>59</v>
      </c>
      <c r="AE22" s="35" t="s">
        <v>60</v>
      </c>
      <c r="AF22" s="35" t="s">
        <v>58</v>
      </c>
      <c r="AG22" s="35" t="s">
        <v>59</v>
      </c>
      <c r="AH22" s="35" t="s">
        <v>60</v>
      </c>
      <c r="AI22" s="35" t="s">
        <v>58</v>
      </c>
      <c r="AJ22" s="35" t="s">
        <v>59</v>
      </c>
      <c r="AK22" s="35" t="s">
        <v>60</v>
      </c>
    </row>
    <row r="23" spans="2:37" x14ac:dyDescent="0.25">
      <c r="B23" s="71" t="s">
        <v>27</v>
      </c>
      <c r="C23" s="38">
        <f t="shared" ref="C23:C34" si="9">IF(F2="A",K2,0)</f>
        <v>0</v>
      </c>
      <c r="D23" s="36">
        <f t="shared" ref="D23:D34" si="10">IF(F2="A",0+I2,0)</f>
        <v>0</v>
      </c>
      <c r="E23" s="32" t="s">
        <v>25</v>
      </c>
      <c r="F23" s="38">
        <f t="shared" ref="F23:F34" si="11">IF(F2="B",K2,0)</f>
        <v>0</v>
      </c>
      <c r="G23" s="39">
        <f>IF(F2="B",0+I2,0)</f>
        <v>0</v>
      </c>
      <c r="H23" s="30" t="s">
        <v>34</v>
      </c>
      <c r="I23" s="42">
        <f t="shared" ref="I23:I34" si="12">IF(F2="C",K2,0)</f>
        <v>0</v>
      </c>
      <c r="J23" s="39">
        <f t="shared" ref="J23:J34" si="13">IF(F2="C",0+I2,0)</f>
        <v>0</v>
      </c>
      <c r="K23" s="30" t="s">
        <v>29</v>
      </c>
      <c r="L23" s="42">
        <f t="shared" ref="L23:L34" si="14">IF(F2="D",K2,0)</f>
        <v>0</v>
      </c>
      <c r="M23" s="39">
        <f t="shared" ref="M23:M34" si="15">IF(F2="D",0+I2,0)</f>
        <v>0</v>
      </c>
      <c r="N23" s="30" t="s">
        <v>50</v>
      </c>
      <c r="O23" s="42">
        <f t="shared" ref="O23:O34" si="16">IF(F2="E",K2,0)</f>
        <v>0</v>
      </c>
      <c r="P23" s="39">
        <f t="shared" ref="P23:P34" si="17">IF(F2="E",0+I2,0)</f>
        <v>0</v>
      </c>
      <c r="Q23" s="30" t="s">
        <v>51</v>
      </c>
      <c r="R23" s="42">
        <f t="shared" ref="R23:R34" si="18">IF(F2="F",K2,0)</f>
        <v>0</v>
      </c>
      <c r="S23" s="39">
        <f t="shared" ref="S23:S34" si="19">IF(F2="F",0+I2,0)</f>
        <v>0</v>
      </c>
      <c r="T23" s="30" t="s">
        <v>52</v>
      </c>
      <c r="U23" s="42">
        <f t="shared" ref="U23:U34" si="20">IF(F2="G",K2,0)</f>
        <v>0</v>
      </c>
      <c r="V23" s="39">
        <f t="shared" ref="V23:V34" si="21">IF(F2="G",0+I2,0)</f>
        <v>0</v>
      </c>
      <c r="W23" s="30" t="s">
        <v>30</v>
      </c>
      <c r="X23" s="42">
        <f t="shared" ref="X23:X34" si="22">IF(F2="I",K2,0)</f>
        <v>0</v>
      </c>
      <c r="Y23" s="39">
        <f t="shared" ref="Y23:Y34" si="23">IF(F2="I",0+I2,0)</f>
        <v>0</v>
      </c>
      <c r="Z23" s="30" t="s">
        <v>53</v>
      </c>
      <c r="AA23" s="42">
        <f t="shared" ref="AA23:AA34" si="24">IF(F2="L",K2,0)</f>
        <v>0</v>
      </c>
      <c r="AB23" s="39">
        <f t="shared" ref="AB23:AB34" si="25">IF(F2="L",0+I2,0)</f>
        <v>0</v>
      </c>
      <c r="AC23" s="30" t="s">
        <v>31</v>
      </c>
      <c r="AD23" s="42">
        <f t="shared" ref="AD23:AD34" si="26">IF(F2="M",K2,0)</f>
        <v>0</v>
      </c>
      <c r="AE23" s="39">
        <f t="shared" ref="AE23:AE34" si="27">IF(F2="M",0+I2,0)</f>
        <v>0</v>
      </c>
      <c r="AF23" s="30" t="s">
        <v>33</v>
      </c>
      <c r="AG23" s="42">
        <f t="shared" ref="AG23:AG34" si="28">IF(F2="N",K2,0)</f>
        <v>0</v>
      </c>
      <c r="AH23" s="39">
        <f t="shared" ref="AH23:AH34" si="29">IF(F2="N",0+I2,0)</f>
        <v>0</v>
      </c>
      <c r="AI23" s="31" t="s">
        <v>32</v>
      </c>
      <c r="AJ23" s="42">
        <f t="shared" ref="AJ23:AJ34" si="30">IF(F2="P",K2,0)</f>
        <v>0</v>
      </c>
      <c r="AK23" s="39">
        <f t="shared" ref="AK23:AK34" si="31">IF(F2="P",0+I2,0)</f>
        <v>0</v>
      </c>
    </row>
    <row r="24" spans="2:37" x14ac:dyDescent="0.25">
      <c r="B24" s="72" t="s">
        <v>27</v>
      </c>
      <c r="C24" s="34">
        <f t="shared" si="9"/>
        <v>0</v>
      </c>
      <c r="D24" s="37">
        <f t="shared" si="10"/>
        <v>0</v>
      </c>
      <c r="E24" s="33" t="s">
        <v>25</v>
      </c>
      <c r="F24" s="34">
        <f t="shared" si="11"/>
        <v>0</v>
      </c>
      <c r="G24" s="40">
        <f t="shared" ref="G24:G34" si="32">IF(F3="B",0+I3,0)</f>
        <v>0</v>
      </c>
      <c r="H24" s="29" t="s">
        <v>34</v>
      </c>
      <c r="I24" s="35">
        <f t="shared" si="12"/>
        <v>0</v>
      </c>
      <c r="J24" s="40">
        <f t="shared" si="13"/>
        <v>0</v>
      </c>
      <c r="K24" s="29" t="s">
        <v>29</v>
      </c>
      <c r="L24" s="35">
        <f t="shared" si="14"/>
        <v>0</v>
      </c>
      <c r="M24" s="40">
        <f t="shared" si="15"/>
        <v>0</v>
      </c>
      <c r="N24" s="29" t="s">
        <v>50</v>
      </c>
      <c r="O24" s="35">
        <f t="shared" si="16"/>
        <v>0</v>
      </c>
      <c r="P24" s="40">
        <f t="shared" si="17"/>
        <v>0</v>
      </c>
      <c r="Q24" s="29" t="s">
        <v>51</v>
      </c>
      <c r="R24" s="35">
        <f t="shared" si="18"/>
        <v>0</v>
      </c>
      <c r="S24" s="40">
        <f t="shared" si="19"/>
        <v>0</v>
      </c>
      <c r="T24" s="29" t="s">
        <v>52</v>
      </c>
      <c r="U24" s="35">
        <f t="shared" si="20"/>
        <v>0</v>
      </c>
      <c r="V24" s="40">
        <f t="shared" si="21"/>
        <v>0</v>
      </c>
      <c r="W24" s="29" t="s">
        <v>30</v>
      </c>
      <c r="X24" s="35">
        <f t="shared" si="22"/>
        <v>0</v>
      </c>
      <c r="Y24" s="40">
        <f t="shared" si="23"/>
        <v>0</v>
      </c>
      <c r="Z24" s="29" t="s">
        <v>53</v>
      </c>
      <c r="AA24" s="35">
        <f t="shared" si="24"/>
        <v>0</v>
      </c>
      <c r="AB24" s="40">
        <f t="shared" si="25"/>
        <v>0</v>
      </c>
      <c r="AC24" s="29" t="s">
        <v>31</v>
      </c>
      <c r="AD24" s="35">
        <f t="shared" si="26"/>
        <v>0</v>
      </c>
      <c r="AE24" s="40">
        <f t="shared" si="27"/>
        <v>0</v>
      </c>
      <c r="AF24" s="29" t="s">
        <v>33</v>
      </c>
      <c r="AG24" s="35">
        <f t="shared" si="28"/>
        <v>0</v>
      </c>
      <c r="AH24" s="40">
        <f t="shared" si="29"/>
        <v>0</v>
      </c>
      <c r="AI24" s="28" t="s">
        <v>32</v>
      </c>
      <c r="AJ24" s="35">
        <f t="shared" si="30"/>
        <v>0</v>
      </c>
      <c r="AK24" s="40">
        <f t="shared" si="31"/>
        <v>0</v>
      </c>
    </row>
    <row r="25" spans="2:37" x14ac:dyDescent="0.25">
      <c r="B25" s="72" t="s">
        <v>27</v>
      </c>
      <c r="C25" s="34">
        <f t="shared" si="9"/>
        <v>0</v>
      </c>
      <c r="D25" s="37">
        <f t="shared" si="10"/>
        <v>0</v>
      </c>
      <c r="E25" s="33" t="s">
        <v>25</v>
      </c>
      <c r="F25" s="34">
        <f t="shared" si="11"/>
        <v>0</v>
      </c>
      <c r="G25" s="40">
        <f t="shared" si="32"/>
        <v>0</v>
      </c>
      <c r="H25" s="29" t="s">
        <v>34</v>
      </c>
      <c r="I25" s="35">
        <f t="shared" si="12"/>
        <v>0</v>
      </c>
      <c r="J25" s="40">
        <f t="shared" si="13"/>
        <v>0</v>
      </c>
      <c r="K25" s="29" t="s">
        <v>29</v>
      </c>
      <c r="L25" s="35">
        <f t="shared" si="14"/>
        <v>0</v>
      </c>
      <c r="M25" s="40">
        <f t="shared" si="15"/>
        <v>0</v>
      </c>
      <c r="N25" s="29" t="s">
        <v>50</v>
      </c>
      <c r="O25" s="35">
        <f t="shared" si="16"/>
        <v>0</v>
      </c>
      <c r="P25" s="40">
        <f t="shared" si="17"/>
        <v>0</v>
      </c>
      <c r="Q25" s="29" t="s">
        <v>51</v>
      </c>
      <c r="R25" s="35">
        <f t="shared" si="18"/>
        <v>0</v>
      </c>
      <c r="S25" s="40">
        <f t="shared" si="19"/>
        <v>0</v>
      </c>
      <c r="T25" s="29" t="s">
        <v>52</v>
      </c>
      <c r="U25" s="35">
        <f t="shared" si="20"/>
        <v>0</v>
      </c>
      <c r="V25" s="40">
        <f t="shared" si="21"/>
        <v>0</v>
      </c>
      <c r="W25" s="29" t="s">
        <v>30</v>
      </c>
      <c r="X25" s="35">
        <f t="shared" si="22"/>
        <v>0</v>
      </c>
      <c r="Y25" s="40">
        <f t="shared" si="23"/>
        <v>0</v>
      </c>
      <c r="Z25" s="29" t="s">
        <v>53</v>
      </c>
      <c r="AA25" s="35">
        <f t="shared" si="24"/>
        <v>0</v>
      </c>
      <c r="AB25" s="40">
        <f t="shared" si="25"/>
        <v>0</v>
      </c>
      <c r="AC25" s="29" t="s">
        <v>31</v>
      </c>
      <c r="AD25" s="35">
        <f t="shared" si="26"/>
        <v>0</v>
      </c>
      <c r="AE25" s="40">
        <f t="shared" si="27"/>
        <v>0</v>
      </c>
      <c r="AF25" s="29" t="s">
        <v>33</v>
      </c>
      <c r="AG25" s="35">
        <f t="shared" si="28"/>
        <v>0</v>
      </c>
      <c r="AH25" s="40">
        <f t="shared" si="29"/>
        <v>0</v>
      </c>
      <c r="AI25" s="28" t="s">
        <v>32</v>
      </c>
      <c r="AJ25" s="35">
        <f t="shared" si="30"/>
        <v>0</v>
      </c>
      <c r="AK25" s="40">
        <f t="shared" si="31"/>
        <v>0</v>
      </c>
    </row>
    <row r="26" spans="2:37" x14ac:dyDescent="0.25">
      <c r="B26" s="72" t="s">
        <v>27</v>
      </c>
      <c r="C26" s="34">
        <f t="shared" si="9"/>
        <v>0</v>
      </c>
      <c r="D26" s="37">
        <f t="shared" si="10"/>
        <v>0</v>
      </c>
      <c r="E26" s="33" t="s">
        <v>25</v>
      </c>
      <c r="F26" s="34">
        <f t="shared" si="11"/>
        <v>0</v>
      </c>
      <c r="G26" s="40">
        <f t="shared" si="32"/>
        <v>0</v>
      </c>
      <c r="H26" s="29" t="s">
        <v>34</v>
      </c>
      <c r="I26" s="35">
        <f t="shared" si="12"/>
        <v>0</v>
      </c>
      <c r="J26" s="40">
        <f t="shared" si="13"/>
        <v>0</v>
      </c>
      <c r="K26" s="29" t="s">
        <v>29</v>
      </c>
      <c r="L26" s="35">
        <f t="shared" si="14"/>
        <v>0</v>
      </c>
      <c r="M26" s="40">
        <f t="shared" si="15"/>
        <v>0</v>
      </c>
      <c r="N26" s="29" t="s">
        <v>50</v>
      </c>
      <c r="O26" s="35">
        <f t="shared" si="16"/>
        <v>0</v>
      </c>
      <c r="P26" s="40">
        <f t="shared" si="17"/>
        <v>0</v>
      </c>
      <c r="Q26" s="29" t="s">
        <v>51</v>
      </c>
      <c r="R26" s="35">
        <f t="shared" si="18"/>
        <v>0</v>
      </c>
      <c r="S26" s="40">
        <f t="shared" si="19"/>
        <v>0</v>
      </c>
      <c r="T26" s="29" t="s">
        <v>52</v>
      </c>
      <c r="U26" s="35">
        <f t="shared" si="20"/>
        <v>0</v>
      </c>
      <c r="V26" s="40">
        <f t="shared" si="21"/>
        <v>0</v>
      </c>
      <c r="W26" s="29" t="s">
        <v>30</v>
      </c>
      <c r="X26" s="35">
        <f t="shared" si="22"/>
        <v>0</v>
      </c>
      <c r="Y26" s="40">
        <f t="shared" si="23"/>
        <v>0</v>
      </c>
      <c r="Z26" s="29" t="s">
        <v>53</v>
      </c>
      <c r="AA26" s="35">
        <f t="shared" si="24"/>
        <v>0</v>
      </c>
      <c r="AB26" s="40">
        <f t="shared" si="25"/>
        <v>0</v>
      </c>
      <c r="AC26" s="29" t="s">
        <v>31</v>
      </c>
      <c r="AD26" s="35">
        <f t="shared" si="26"/>
        <v>0</v>
      </c>
      <c r="AE26" s="40">
        <f t="shared" si="27"/>
        <v>0</v>
      </c>
      <c r="AF26" s="29" t="s">
        <v>33</v>
      </c>
      <c r="AG26" s="35">
        <f t="shared" si="28"/>
        <v>0</v>
      </c>
      <c r="AH26" s="40">
        <f t="shared" si="29"/>
        <v>0</v>
      </c>
      <c r="AI26" s="28" t="s">
        <v>32</v>
      </c>
      <c r="AJ26" s="35">
        <f t="shared" si="30"/>
        <v>0</v>
      </c>
      <c r="AK26" s="40">
        <f t="shared" si="31"/>
        <v>0</v>
      </c>
    </row>
    <row r="27" spans="2:37" x14ac:dyDescent="0.25">
      <c r="B27" s="72" t="s">
        <v>27</v>
      </c>
      <c r="C27" s="34">
        <f t="shared" si="9"/>
        <v>0</v>
      </c>
      <c r="D27" s="37">
        <f t="shared" si="10"/>
        <v>0</v>
      </c>
      <c r="E27" s="33" t="s">
        <v>25</v>
      </c>
      <c r="F27" s="34">
        <f t="shared" si="11"/>
        <v>0</v>
      </c>
      <c r="G27" s="40">
        <f t="shared" si="32"/>
        <v>0</v>
      </c>
      <c r="H27" s="29" t="s">
        <v>34</v>
      </c>
      <c r="I27" s="35">
        <f t="shared" si="12"/>
        <v>0</v>
      </c>
      <c r="J27" s="40">
        <f t="shared" si="13"/>
        <v>0</v>
      </c>
      <c r="K27" s="29" t="s">
        <v>29</v>
      </c>
      <c r="L27" s="35">
        <f t="shared" si="14"/>
        <v>0</v>
      </c>
      <c r="M27" s="40">
        <f t="shared" si="15"/>
        <v>0</v>
      </c>
      <c r="N27" s="29" t="s">
        <v>50</v>
      </c>
      <c r="O27" s="35">
        <f t="shared" si="16"/>
        <v>0</v>
      </c>
      <c r="P27" s="40">
        <f t="shared" si="17"/>
        <v>0</v>
      </c>
      <c r="Q27" s="29" t="s">
        <v>51</v>
      </c>
      <c r="R27" s="35">
        <f t="shared" si="18"/>
        <v>0</v>
      </c>
      <c r="S27" s="40">
        <f t="shared" si="19"/>
        <v>0</v>
      </c>
      <c r="T27" s="29" t="s">
        <v>52</v>
      </c>
      <c r="U27" s="35">
        <f t="shared" si="20"/>
        <v>0</v>
      </c>
      <c r="V27" s="40">
        <f t="shared" si="21"/>
        <v>0</v>
      </c>
      <c r="W27" s="29" t="s">
        <v>30</v>
      </c>
      <c r="X27" s="35">
        <f t="shared" si="22"/>
        <v>0</v>
      </c>
      <c r="Y27" s="40">
        <f t="shared" si="23"/>
        <v>0</v>
      </c>
      <c r="Z27" s="29" t="s">
        <v>53</v>
      </c>
      <c r="AA27" s="35">
        <f t="shared" si="24"/>
        <v>0</v>
      </c>
      <c r="AB27" s="40">
        <f t="shared" si="25"/>
        <v>0</v>
      </c>
      <c r="AC27" s="29" t="s">
        <v>31</v>
      </c>
      <c r="AD27" s="35">
        <f t="shared" si="26"/>
        <v>0</v>
      </c>
      <c r="AE27" s="40">
        <f t="shared" si="27"/>
        <v>0</v>
      </c>
      <c r="AF27" s="29" t="s">
        <v>33</v>
      </c>
      <c r="AG27" s="35">
        <f t="shared" si="28"/>
        <v>0</v>
      </c>
      <c r="AH27" s="40">
        <f t="shared" si="29"/>
        <v>0</v>
      </c>
      <c r="AI27" s="28" t="s">
        <v>32</v>
      </c>
      <c r="AJ27" s="35">
        <f t="shared" si="30"/>
        <v>0</v>
      </c>
      <c r="AK27" s="40">
        <f t="shared" si="31"/>
        <v>0</v>
      </c>
    </row>
    <row r="28" spans="2:37" x14ac:dyDescent="0.25">
      <c r="B28" s="72" t="s">
        <v>27</v>
      </c>
      <c r="C28" s="34">
        <f t="shared" si="9"/>
        <v>0</v>
      </c>
      <c r="D28" s="37">
        <f t="shared" si="10"/>
        <v>0</v>
      </c>
      <c r="E28" s="33" t="s">
        <v>25</v>
      </c>
      <c r="F28" s="34">
        <f t="shared" si="11"/>
        <v>0</v>
      </c>
      <c r="G28" s="40">
        <f t="shared" si="32"/>
        <v>0</v>
      </c>
      <c r="H28" s="29" t="s">
        <v>34</v>
      </c>
      <c r="I28" s="35">
        <f t="shared" si="12"/>
        <v>0</v>
      </c>
      <c r="J28" s="40">
        <f t="shared" si="13"/>
        <v>0</v>
      </c>
      <c r="K28" s="29" t="s">
        <v>29</v>
      </c>
      <c r="L28" s="35">
        <f t="shared" si="14"/>
        <v>0</v>
      </c>
      <c r="M28" s="40">
        <f t="shared" si="15"/>
        <v>0</v>
      </c>
      <c r="N28" s="29" t="s">
        <v>50</v>
      </c>
      <c r="O28" s="35">
        <f t="shared" si="16"/>
        <v>0</v>
      </c>
      <c r="P28" s="40">
        <f t="shared" si="17"/>
        <v>0</v>
      </c>
      <c r="Q28" s="29" t="s">
        <v>51</v>
      </c>
      <c r="R28" s="35">
        <f t="shared" si="18"/>
        <v>0</v>
      </c>
      <c r="S28" s="40">
        <f t="shared" si="19"/>
        <v>0</v>
      </c>
      <c r="T28" s="29" t="s">
        <v>52</v>
      </c>
      <c r="U28" s="35">
        <f t="shared" si="20"/>
        <v>0</v>
      </c>
      <c r="V28" s="40">
        <f t="shared" si="21"/>
        <v>0</v>
      </c>
      <c r="W28" s="29" t="s">
        <v>30</v>
      </c>
      <c r="X28" s="35">
        <f t="shared" si="22"/>
        <v>0</v>
      </c>
      <c r="Y28" s="40">
        <f t="shared" si="23"/>
        <v>0</v>
      </c>
      <c r="Z28" s="29" t="s">
        <v>53</v>
      </c>
      <c r="AA28" s="35">
        <f t="shared" si="24"/>
        <v>0</v>
      </c>
      <c r="AB28" s="40">
        <f t="shared" si="25"/>
        <v>0</v>
      </c>
      <c r="AC28" s="29" t="s">
        <v>31</v>
      </c>
      <c r="AD28" s="35">
        <f t="shared" si="26"/>
        <v>0</v>
      </c>
      <c r="AE28" s="40">
        <f t="shared" si="27"/>
        <v>0</v>
      </c>
      <c r="AF28" s="29" t="s">
        <v>33</v>
      </c>
      <c r="AG28" s="35">
        <f t="shared" si="28"/>
        <v>0</v>
      </c>
      <c r="AH28" s="40">
        <f t="shared" si="29"/>
        <v>0</v>
      </c>
      <c r="AI28" s="28" t="s">
        <v>32</v>
      </c>
      <c r="AJ28" s="35">
        <f t="shared" si="30"/>
        <v>0</v>
      </c>
      <c r="AK28" s="40">
        <f t="shared" si="31"/>
        <v>0</v>
      </c>
    </row>
    <row r="29" spans="2:37" x14ac:dyDescent="0.25">
      <c r="B29" s="72" t="s">
        <v>27</v>
      </c>
      <c r="C29" s="34">
        <f t="shared" si="9"/>
        <v>0</v>
      </c>
      <c r="D29" s="37">
        <f t="shared" si="10"/>
        <v>0</v>
      </c>
      <c r="E29" s="33" t="s">
        <v>25</v>
      </c>
      <c r="F29" s="34">
        <f t="shared" si="11"/>
        <v>0</v>
      </c>
      <c r="G29" s="40">
        <f t="shared" si="32"/>
        <v>0</v>
      </c>
      <c r="H29" s="29" t="s">
        <v>34</v>
      </c>
      <c r="I29" s="35">
        <f t="shared" si="12"/>
        <v>0</v>
      </c>
      <c r="J29" s="40">
        <f t="shared" si="13"/>
        <v>0</v>
      </c>
      <c r="K29" s="29" t="s">
        <v>29</v>
      </c>
      <c r="L29" s="35">
        <f t="shared" si="14"/>
        <v>0</v>
      </c>
      <c r="M29" s="40">
        <f t="shared" si="15"/>
        <v>0</v>
      </c>
      <c r="N29" s="29" t="s">
        <v>50</v>
      </c>
      <c r="O29" s="35">
        <f t="shared" si="16"/>
        <v>0</v>
      </c>
      <c r="P29" s="40">
        <f t="shared" si="17"/>
        <v>0</v>
      </c>
      <c r="Q29" s="29" t="s">
        <v>51</v>
      </c>
      <c r="R29" s="35">
        <f t="shared" si="18"/>
        <v>0</v>
      </c>
      <c r="S29" s="40">
        <f t="shared" si="19"/>
        <v>0</v>
      </c>
      <c r="T29" s="29" t="s">
        <v>52</v>
      </c>
      <c r="U29" s="35">
        <f t="shared" si="20"/>
        <v>0</v>
      </c>
      <c r="V29" s="40">
        <f t="shared" si="21"/>
        <v>0</v>
      </c>
      <c r="W29" s="29" t="s">
        <v>30</v>
      </c>
      <c r="X29" s="35">
        <f t="shared" si="22"/>
        <v>0</v>
      </c>
      <c r="Y29" s="40">
        <f t="shared" si="23"/>
        <v>0</v>
      </c>
      <c r="Z29" s="29" t="s">
        <v>53</v>
      </c>
      <c r="AA29" s="35">
        <f t="shared" si="24"/>
        <v>0</v>
      </c>
      <c r="AB29" s="40">
        <f t="shared" si="25"/>
        <v>0</v>
      </c>
      <c r="AC29" s="29" t="s">
        <v>31</v>
      </c>
      <c r="AD29" s="35">
        <f t="shared" si="26"/>
        <v>0</v>
      </c>
      <c r="AE29" s="40">
        <f t="shared" si="27"/>
        <v>0</v>
      </c>
      <c r="AF29" s="29" t="s">
        <v>33</v>
      </c>
      <c r="AG29" s="35">
        <f t="shared" si="28"/>
        <v>0</v>
      </c>
      <c r="AH29" s="40">
        <f t="shared" si="29"/>
        <v>0</v>
      </c>
      <c r="AI29" s="28" t="s">
        <v>32</v>
      </c>
      <c r="AJ29" s="35">
        <f t="shared" si="30"/>
        <v>0</v>
      </c>
      <c r="AK29" s="40">
        <f t="shared" si="31"/>
        <v>0</v>
      </c>
    </row>
    <row r="30" spans="2:37" x14ac:dyDescent="0.25">
      <c r="B30" s="73" t="s">
        <v>27</v>
      </c>
      <c r="C30" s="34">
        <f t="shared" si="9"/>
        <v>0</v>
      </c>
      <c r="D30" s="37">
        <f t="shared" si="10"/>
        <v>0</v>
      </c>
      <c r="E30" s="33" t="s">
        <v>25</v>
      </c>
      <c r="F30" s="34">
        <f t="shared" si="11"/>
        <v>0</v>
      </c>
      <c r="G30" s="40">
        <f t="shared" si="32"/>
        <v>0</v>
      </c>
      <c r="H30" s="29" t="s">
        <v>34</v>
      </c>
      <c r="I30" s="35">
        <f t="shared" si="12"/>
        <v>0</v>
      </c>
      <c r="J30" s="40">
        <f t="shared" si="13"/>
        <v>0</v>
      </c>
      <c r="K30" s="29" t="s">
        <v>29</v>
      </c>
      <c r="L30" s="35">
        <f t="shared" si="14"/>
        <v>0</v>
      </c>
      <c r="M30" s="40">
        <f t="shared" si="15"/>
        <v>0</v>
      </c>
      <c r="N30" s="29" t="s">
        <v>50</v>
      </c>
      <c r="O30" s="35">
        <f t="shared" si="16"/>
        <v>0</v>
      </c>
      <c r="P30" s="40">
        <f t="shared" si="17"/>
        <v>0</v>
      </c>
      <c r="Q30" s="29" t="s">
        <v>51</v>
      </c>
      <c r="R30" s="35">
        <f t="shared" si="18"/>
        <v>0</v>
      </c>
      <c r="S30" s="40">
        <f t="shared" si="19"/>
        <v>0</v>
      </c>
      <c r="T30" s="29" t="s">
        <v>52</v>
      </c>
      <c r="U30" s="35">
        <f t="shared" si="20"/>
        <v>0</v>
      </c>
      <c r="V30" s="40">
        <f t="shared" si="21"/>
        <v>0</v>
      </c>
      <c r="W30" s="29" t="s">
        <v>30</v>
      </c>
      <c r="X30" s="35">
        <f t="shared" si="22"/>
        <v>0</v>
      </c>
      <c r="Y30" s="40">
        <f t="shared" si="23"/>
        <v>0</v>
      </c>
      <c r="Z30" s="29" t="s">
        <v>53</v>
      </c>
      <c r="AA30" s="35">
        <f t="shared" si="24"/>
        <v>0</v>
      </c>
      <c r="AB30" s="40">
        <f t="shared" si="25"/>
        <v>0</v>
      </c>
      <c r="AC30" s="29" t="s">
        <v>31</v>
      </c>
      <c r="AD30" s="35">
        <f t="shared" si="26"/>
        <v>0</v>
      </c>
      <c r="AE30" s="40">
        <f t="shared" si="27"/>
        <v>0</v>
      </c>
      <c r="AF30" s="29" t="s">
        <v>33</v>
      </c>
      <c r="AG30" s="35">
        <f t="shared" si="28"/>
        <v>0</v>
      </c>
      <c r="AH30" s="40">
        <f t="shared" si="29"/>
        <v>0</v>
      </c>
      <c r="AI30" s="28" t="s">
        <v>32</v>
      </c>
      <c r="AJ30" s="35">
        <f t="shared" si="30"/>
        <v>0</v>
      </c>
      <c r="AK30" s="40">
        <f t="shared" si="31"/>
        <v>0</v>
      </c>
    </row>
    <row r="31" spans="2:37" x14ac:dyDescent="0.25">
      <c r="B31" s="73" t="s">
        <v>27</v>
      </c>
      <c r="C31" s="34">
        <f t="shared" si="9"/>
        <v>0</v>
      </c>
      <c r="D31" s="37">
        <f t="shared" si="10"/>
        <v>0</v>
      </c>
      <c r="E31" s="33" t="s">
        <v>25</v>
      </c>
      <c r="F31" s="34">
        <f t="shared" si="11"/>
        <v>0</v>
      </c>
      <c r="G31" s="40">
        <f t="shared" si="32"/>
        <v>0</v>
      </c>
      <c r="H31" s="29" t="s">
        <v>34</v>
      </c>
      <c r="I31" s="35">
        <f t="shared" si="12"/>
        <v>0</v>
      </c>
      <c r="J31" s="40">
        <f t="shared" si="13"/>
        <v>0</v>
      </c>
      <c r="K31" s="29" t="s">
        <v>29</v>
      </c>
      <c r="L31" s="35">
        <f t="shared" si="14"/>
        <v>0</v>
      </c>
      <c r="M31" s="40">
        <f t="shared" si="15"/>
        <v>0</v>
      </c>
      <c r="N31" s="29" t="s">
        <v>50</v>
      </c>
      <c r="O31" s="35">
        <f t="shared" si="16"/>
        <v>0</v>
      </c>
      <c r="P31" s="40">
        <f t="shared" si="17"/>
        <v>0</v>
      </c>
      <c r="Q31" s="29" t="s">
        <v>51</v>
      </c>
      <c r="R31" s="35">
        <f t="shared" si="18"/>
        <v>0</v>
      </c>
      <c r="S31" s="40">
        <f t="shared" si="19"/>
        <v>0</v>
      </c>
      <c r="T31" s="29" t="s">
        <v>52</v>
      </c>
      <c r="U31" s="35">
        <f t="shared" si="20"/>
        <v>0</v>
      </c>
      <c r="V31" s="40">
        <f t="shared" si="21"/>
        <v>0</v>
      </c>
      <c r="W31" s="29" t="s">
        <v>30</v>
      </c>
      <c r="X31" s="35">
        <f t="shared" si="22"/>
        <v>0</v>
      </c>
      <c r="Y31" s="40">
        <f t="shared" si="23"/>
        <v>0</v>
      </c>
      <c r="Z31" s="29" t="s">
        <v>53</v>
      </c>
      <c r="AA31" s="35">
        <f t="shared" si="24"/>
        <v>0</v>
      </c>
      <c r="AB31" s="40">
        <f t="shared" si="25"/>
        <v>0</v>
      </c>
      <c r="AC31" s="29" t="s">
        <v>31</v>
      </c>
      <c r="AD31" s="35">
        <f t="shared" si="26"/>
        <v>0</v>
      </c>
      <c r="AE31" s="40">
        <f t="shared" si="27"/>
        <v>0</v>
      </c>
      <c r="AF31" s="29" t="s">
        <v>33</v>
      </c>
      <c r="AG31" s="35">
        <f t="shared" si="28"/>
        <v>0</v>
      </c>
      <c r="AH31" s="40">
        <f t="shared" si="29"/>
        <v>0</v>
      </c>
      <c r="AI31" s="28" t="s">
        <v>32</v>
      </c>
      <c r="AJ31" s="35">
        <f t="shared" si="30"/>
        <v>0</v>
      </c>
      <c r="AK31" s="40">
        <f t="shared" si="31"/>
        <v>0</v>
      </c>
    </row>
    <row r="32" spans="2:37" x14ac:dyDescent="0.25">
      <c r="B32" s="73" t="s">
        <v>27</v>
      </c>
      <c r="C32" s="34">
        <f t="shared" si="9"/>
        <v>0</v>
      </c>
      <c r="D32" s="37">
        <f t="shared" si="10"/>
        <v>0</v>
      </c>
      <c r="E32" s="33" t="s">
        <v>25</v>
      </c>
      <c r="F32" s="34">
        <f t="shared" si="11"/>
        <v>0</v>
      </c>
      <c r="G32" s="40">
        <f t="shared" si="32"/>
        <v>0</v>
      </c>
      <c r="H32" s="29" t="s">
        <v>34</v>
      </c>
      <c r="I32" s="35">
        <f t="shared" si="12"/>
        <v>0</v>
      </c>
      <c r="J32" s="40">
        <f t="shared" si="13"/>
        <v>0</v>
      </c>
      <c r="K32" s="29" t="s">
        <v>29</v>
      </c>
      <c r="L32" s="35">
        <f t="shared" si="14"/>
        <v>0</v>
      </c>
      <c r="M32" s="40">
        <f t="shared" si="15"/>
        <v>0</v>
      </c>
      <c r="N32" s="29" t="s">
        <v>50</v>
      </c>
      <c r="O32" s="35">
        <f t="shared" si="16"/>
        <v>0</v>
      </c>
      <c r="P32" s="40">
        <f t="shared" si="17"/>
        <v>0</v>
      </c>
      <c r="Q32" s="29" t="s">
        <v>51</v>
      </c>
      <c r="R32" s="35">
        <f t="shared" si="18"/>
        <v>0</v>
      </c>
      <c r="S32" s="40">
        <f t="shared" si="19"/>
        <v>0</v>
      </c>
      <c r="T32" s="29" t="s">
        <v>52</v>
      </c>
      <c r="U32" s="35">
        <f t="shared" si="20"/>
        <v>0</v>
      </c>
      <c r="V32" s="40">
        <f t="shared" si="21"/>
        <v>0</v>
      </c>
      <c r="W32" s="29" t="s">
        <v>30</v>
      </c>
      <c r="X32" s="35">
        <f t="shared" si="22"/>
        <v>0</v>
      </c>
      <c r="Y32" s="40">
        <f t="shared" si="23"/>
        <v>0</v>
      </c>
      <c r="Z32" s="29" t="s">
        <v>53</v>
      </c>
      <c r="AA32" s="35">
        <f t="shared" si="24"/>
        <v>0</v>
      </c>
      <c r="AB32" s="40">
        <f t="shared" si="25"/>
        <v>0</v>
      </c>
      <c r="AC32" s="29" t="s">
        <v>31</v>
      </c>
      <c r="AD32" s="35">
        <f t="shared" si="26"/>
        <v>0</v>
      </c>
      <c r="AE32" s="40">
        <f t="shared" si="27"/>
        <v>0</v>
      </c>
      <c r="AF32" s="29" t="s">
        <v>33</v>
      </c>
      <c r="AG32" s="35">
        <f t="shared" si="28"/>
        <v>0</v>
      </c>
      <c r="AH32" s="40">
        <f t="shared" si="29"/>
        <v>0</v>
      </c>
      <c r="AI32" s="28" t="s">
        <v>32</v>
      </c>
      <c r="AJ32" s="35">
        <f t="shared" si="30"/>
        <v>0</v>
      </c>
      <c r="AK32" s="40">
        <f t="shared" si="31"/>
        <v>0</v>
      </c>
    </row>
    <row r="33" spans="2:37" x14ac:dyDescent="0.25">
      <c r="B33" s="73" t="s">
        <v>27</v>
      </c>
      <c r="C33" s="34">
        <f t="shared" si="9"/>
        <v>0</v>
      </c>
      <c r="D33" s="37">
        <f t="shared" si="10"/>
        <v>0</v>
      </c>
      <c r="E33" s="33" t="s">
        <v>25</v>
      </c>
      <c r="F33" s="34">
        <f t="shared" si="11"/>
        <v>0</v>
      </c>
      <c r="G33" s="40">
        <f t="shared" si="32"/>
        <v>0</v>
      </c>
      <c r="H33" s="29" t="s">
        <v>34</v>
      </c>
      <c r="I33" s="35">
        <f t="shared" si="12"/>
        <v>0</v>
      </c>
      <c r="J33" s="40">
        <f t="shared" si="13"/>
        <v>0</v>
      </c>
      <c r="K33" s="29" t="s">
        <v>29</v>
      </c>
      <c r="L33" s="35">
        <f t="shared" si="14"/>
        <v>0</v>
      </c>
      <c r="M33" s="40">
        <f t="shared" si="15"/>
        <v>0</v>
      </c>
      <c r="N33" s="29" t="s">
        <v>50</v>
      </c>
      <c r="O33" s="35">
        <f t="shared" si="16"/>
        <v>0</v>
      </c>
      <c r="P33" s="40">
        <f t="shared" si="17"/>
        <v>0</v>
      </c>
      <c r="Q33" s="29" t="s">
        <v>51</v>
      </c>
      <c r="R33" s="35">
        <f t="shared" si="18"/>
        <v>0</v>
      </c>
      <c r="S33" s="40">
        <f t="shared" si="19"/>
        <v>0</v>
      </c>
      <c r="T33" s="29" t="s">
        <v>52</v>
      </c>
      <c r="U33" s="35">
        <f t="shared" si="20"/>
        <v>0</v>
      </c>
      <c r="V33" s="40">
        <f t="shared" si="21"/>
        <v>0</v>
      </c>
      <c r="W33" s="29" t="s">
        <v>30</v>
      </c>
      <c r="X33" s="35">
        <f t="shared" si="22"/>
        <v>0</v>
      </c>
      <c r="Y33" s="40">
        <f t="shared" si="23"/>
        <v>0</v>
      </c>
      <c r="Z33" s="29" t="s">
        <v>53</v>
      </c>
      <c r="AA33" s="35">
        <f t="shared" si="24"/>
        <v>0</v>
      </c>
      <c r="AB33" s="40">
        <f t="shared" si="25"/>
        <v>0</v>
      </c>
      <c r="AC33" s="29" t="s">
        <v>31</v>
      </c>
      <c r="AD33" s="35">
        <f t="shared" si="26"/>
        <v>0</v>
      </c>
      <c r="AE33" s="40">
        <f t="shared" si="27"/>
        <v>0</v>
      </c>
      <c r="AF33" s="29" t="s">
        <v>33</v>
      </c>
      <c r="AG33" s="35">
        <f t="shared" si="28"/>
        <v>0</v>
      </c>
      <c r="AH33" s="40">
        <f t="shared" si="29"/>
        <v>0</v>
      </c>
      <c r="AI33" s="28" t="s">
        <v>32</v>
      </c>
      <c r="AJ33" s="35">
        <f t="shared" si="30"/>
        <v>0</v>
      </c>
      <c r="AK33" s="40">
        <f t="shared" si="31"/>
        <v>0</v>
      </c>
    </row>
    <row r="34" spans="2:37" x14ac:dyDescent="0.25">
      <c r="B34" s="73" t="s">
        <v>27</v>
      </c>
      <c r="C34" s="34">
        <f t="shared" si="9"/>
        <v>0</v>
      </c>
      <c r="D34" s="37">
        <f t="shared" si="10"/>
        <v>0</v>
      </c>
      <c r="E34" s="33" t="s">
        <v>25</v>
      </c>
      <c r="F34" s="34">
        <f t="shared" si="11"/>
        <v>0</v>
      </c>
      <c r="G34" s="40">
        <f t="shared" si="32"/>
        <v>0</v>
      </c>
      <c r="H34" s="29" t="s">
        <v>34</v>
      </c>
      <c r="I34" s="35">
        <f t="shared" si="12"/>
        <v>0</v>
      </c>
      <c r="J34" s="40">
        <f t="shared" si="13"/>
        <v>0</v>
      </c>
      <c r="K34" s="29" t="s">
        <v>29</v>
      </c>
      <c r="L34" s="35">
        <f t="shared" si="14"/>
        <v>0</v>
      </c>
      <c r="M34" s="40">
        <f t="shared" si="15"/>
        <v>0</v>
      </c>
      <c r="N34" s="29" t="s">
        <v>50</v>
      </c>
      <c r="O34" s="35">
        <f t="shared" si="16"/>
        <v>0</v>
      </c>
      <c r="P34" s="40">
        <f t="shared" si="17"/>
        <v>0</v>
      </c>
      <c r="Q34" s="29" t="s">
        <v>51</v>
      </c>
      <c r="R34" s="35">
        <f t="shared" si="18"/>
        <v>0</v>
      </c>
      <c r="S34" s="40">
        <f t="shared" si="19"/>
        <v>0</v>
      </c>
      <c r="T34" s="29" t="s">
        <v>52</v>
      </c>
      <c r="U34" s="35">
        <f t="shared" si="20"/>
        <v>0</v>
      </c>
      <c r="V34" s="40">
        <f t="shared" si="21"/>
        <v>0</v>
      </c>
      <c r="W34" s="29" t="s">
        <v>30</v>
      </c>
      <c r="X34" s="35">
        <f t="shared" si="22"/>
        <v>0</v>
      </c>
      <c r="Y34" s="40">
        <f t="shared" si="23"/>
        <v>0</v>
      </c>
      <c r="Z34" s="29" t="s">
        <v>53</v>
      </c>
      <c r="AA34" s="35">
        <f t="shared" si="24"/>
        <v>0</v>
      </c>
      <c r="AB34" s="40">
        <f t="shared" si="25"/>
        <v>0</v>
      </c>
      <c r="AC34" s="29" t="s">
        <v>31</v>
      </c>
      <c r="AD34" s="35">
        <f t="shared" si="26"/>
        <v>0</v>
      </c>
      <c r="AE34" s="40">
        <f t="shared" si="27"/>
        <v>0</v>
      </c>
      <c r="AF34" s="29" t="s">
        <v>33</v>
      </c>
      <c r="AG34" s="35">
        <f t="shared" si="28"/>
        <v>0</v>
      </c>
      <c r="AH34" s="40">
        <f t="shared" si="29"/>
        <v>0</v>
      </c>
      <c r="AI34" s="28" t="s">
        <v>32</v>
      </c>
      <c r="AJ34" s="35">
        <f t="shared" si="30"/>
        <v>0</v>
      </c>
      <c r="AK34" s="40">
        <f t="shared" si="31"/>
        <v>0</v>
      </c>
    </row>
    <row r="35" spans="2:37" x14ac:dyDescent="0.25">
      <c r="B35" s="74" t="s">
        <v>61</v>
      </c>
      <c r="C35" s="54">
        <f>SUM(C23+C24+C25+C26+C27+C28+C29+C30+C31+C32+C33+C34)</f>
        <v>0</v>
      </c>
      <c r="D35" s="54">
        <f>SUM(D23+D24+D25+D26+D27+D28+D29+D30+D31+D32+D33+D34)</f>
        <v>0</v>
      </c>
      <c r="E35" s="54" t="s">
        <v>26</v>
      </c>
      <c r="F35" s="54">
        <f t="shared" ref="F35:AK35" si="33">SUM(F23+F24+F25+F26+F27+F28+F29+F30+F31+F32+F33+F34)</f>
        <v>0</v>
      </c>
      <c r="G35" s="54">
        <f t="shared" si="33"/>
        <v>0</v>
      </c>
      <c r="H35" s="54" t="s">
        <v>26</v>
      </c>
      <c r="I35" s="54">
        <f t="shared" si="33"/>
        <v>0</v>
      </c>
      <c r="J35" s="54">
        <f t="shared" si="33"/>
        <v>0</v>
      </c>
      <c r="K35" s="54" t="s">
        <v>26</v>
      </c>
      <c r="L35" s="54">
        <f t="shared" si="33"/>
        <v>0</v>
      </c>
      <c r="M35" s="54">
        <f t="shared" si="33"/>
        <v>0</v>
      </c>
      <c r="N35" s="54" t="s">
        <v>26</v>
      </c>
      <c r="O35" s="54">
        <f t="shared" si="33"/>
        <v>0</v>
      </c>
      <c r="P35" s="54">
        <f t="shared" si="33"/>
        <v>0</v>
      </c>
      <c r="Q35" s="54" t="s">
        <v>26</v>
      </c>
      <c r="R35" s="54">
        <f t="shared" si="33"/>
        <v>0</v>
      </c>
      <c r="S35" s="54">
        <f t="shared" si="33"/>
        <v>0</v>
      </c>
      <c r="T35" s="54" t="s">
        <v>26</v>
      </c>
      <c r="U35" s="54">
        <f t="shared" si="33"/>
        <v>0</v>
      </c>
      <c r="V35" s="54">
        <f t="shared" si="33"/>
        <v>0</v>
      </c>
      <c r="W35" s="54" t="s">
        <v>26</v>
      </c>
      <c r="X35" s="54">
        <f t="shared" si="33"/>
        <v>0</v>
      </c>
      <c r="Y35" s="54">
        <f t="shared" si="33"/>
        <v>0</v>
      </c>
      <c r="Z35" s="54" t="s">
        <v>26</v>
      </c>
      <c r="AA35" s="54">
        <f t="shared" si="33"/>
        <v>0</v>
      </c>
      <c r="AB35" s="54">
        <f t="shared" si="33"/>
        <v>0</v>
      </c>
      <c r="AC35" s="54" t="s">
        <v>26</v>
      </c>
      <c r="AD35" s="54">
        <f t="shared" si="33"/>
        <v>0</v>
      </c>
      <c r="AE35" s="54">
        <f>SUM(AE23+AE24+AE25+AE26+AE27+AE28+AE29+AE30+AE31+AE32+AE33+AE34)</f>
        <v>0</v>
      </c>
      <c r="AF35" s="54" t="s">
        <v>26</v>
      </c>
      <c r="AG35" s="54">
        <f t="shared" si="33"/>
        <v>0</v>
      </c>
      <c r="AH35" s="54">
        <f t="shared" si="33"/>
        <v>0</v>
      </c>
      <c r="AI35" s="54" t="s">
        <v>26</v>
      </c>
      <c r="AJ35" s="54">
        <f t="shared" si="33"/>
        <v>0</v>
      </c>
      <c r="AK35" s="55">
        <f t="shared" si="33"/>
        <v>0</v>
      </c>
    </row>
    <row r="36" spans="2:37" x14ac:dyDescent="0.25">
      <c r="B36" s="73"/>
      <c r="C36" s="34"/>
      <c r="D36" s="34"/>
      <c r="E36" s="34"/>
      <c r="F36" s="34"/>
      <c r="G36" s="35"/>
      <c r="H36" s="28"/>
      <c r="I36" s="35"/>
      <c r="J36" s="35"/>
      <c r="K36" s="28"/>
      <c r="L36" s="35"/>
      <c r="M36" s="35"/>
      <c r="N36" s="28"/>
      <c r="O36" s="35"/>
      <c r="P36" s="35"/>
      <c r="Q36" s="28"/>
      <c r="R36" s="35"/>
      <c r="S36" s="35"/>
      <c r="T36" s="28"/>
      <c r="U36" s="35"/>
      <c r="V36" s="35"/>
      <c r="W36" s="28"/>
      <c r="X36" s="35"/>
      <c r="Y36" s="35"/>
      <c r="Z36" s="28"/>
      <c r="AA36" s="35"/>
      <c r="AB36" s="35"/>
      <c r="AC36" s="28"/>
      <c r="AD36" s="35"/>
      <c r="AE36" s="35"/>
      <c r="AF36" s="28"/>
      <c r="AG36" s="35"/>
      <c r="AH36" s="35"/>
      <c r="AI36" s="28"/>
      <c r="AJ36" s="35"/>
      <c r="AK36" s="35"/>
    </row>
    <row r="37" spans="2:37" x14ac:dyDescent="0.25">
      <c r="B37" s="73" t="s">
        <v>55</v>
      </c>
      <c r="C37" s="35"/>
      <c r="D37" s="34"/>
      <c r="E37" s="34"/>
      <c r="F37" s="35"/>
      <c r="G37" s="28"/>
      <c r="H37" s="35"/>
      <c r="I37" s="35"/>
      <c r="J37" s="28"/>
      <c r="K37" s="35"/>
      <c r="L37" s="35"/>
      <c r="M37" s="28"/>
      <c r="N37" s="35"/>
      <c r="O37" s="35"/>
      <c r="P37" s="28"/>
      <c r="Q37" s="35"/>
      <c r="R37" s="35"/>
      <c r="S37" s="28"/>
      <c r="T37" s="35"/>
      <c r="U37" s="35"/>
      <c r="V37" s="28"/>
      <c r="W37" s="35"/>
      <c r="X37" s="35"/>
      <c r="Y37" s="28"/>
      <c r="Z37" s="35"/>
      <c r="AA37" s="35"/>
      <c r="AB37" s="28"/>
      <c r="AC37" s="35"/>
      <c r="AD37" s="35"/>
      <c r="AE37" s="28"/>
      <c r="AF37" s="35"/>
      <c r="AG37" s="35"/>
      <c r="AH37" s="28"/>
      <c r="AI37" s="35"/>
      <c r="AJ37" s="35"/>
      <c r="AK37" s="28"/>
    </row>
    <row r="38" spans="2:37" x14ac:dyDescent="0.25">
      <c r="B38" s="73" t="s">
        <v>58</v>
      </c>
      <c r="C38" s="35" t="s">
        <v>59</v>
      </c>
      <c r="D38" s="35" t="s">
        <v>60</v>
      </c>
      <c r="E38" s="35" t="s">
        <v>58</v>
      </c>
      <c r="F38" s="35" t="s">
        <v>59</v>
      </c>
      <c r="G38" s="35" t="s">
        <v>60</v>
      </c>
      <c r="H38" s="35" t="s">
        <v>58</v>
      </c>
      <c r="I38" s="35" t="s">
        <v>59</v>
      </c>
      <c r="J38" s="35" t="s">
        <v>60</v>
      </c>
      <c r="K38" s="35" t="s">
        <v>58</v>
      </c>
      <c r="L38" s="35" t="s">
        <v>59</v>
      </c>
      <c r="M38" s="35" t="s">
        <v>60</v>
      </c>
      <c r="N38" s="35" t="s">
        <v>58</v>
      </c>
      <c r="O38" s="35" t="s">
        <v>59</v>
      </c>
      <c r="P38" s="35" t="s">
        <v>60</v>
      </c>
      <c r="Q38" s="35" t="s">
        <v>58</v>
      </c>
      <c r="R38" s="35" t="s">
        <v>59</v>
      </c>
      <c r="S38" s="35" t="s">
        <v>60</v>
      </c>
      <c r="T38" s="35" t="s">
        <v>58</v>
      </c>
      <c r="U38" s="35" t="s">
        <v>59</v>
      </c>
      <c r="V38" s="35" t="s">
        <v>60</v>
      </c>
      <c r="W38" s="35" t="s">
        <v>58</v>
      </c>
      <c r="X38" s="35" t="s">
        <v>59</v>
      </c>
      <c r="Y38" s="35" t="s">
        <v>60</v>
      </c>
      <c r="Z38" s="35" t="s">
        <v>58</v>
      </c>
      <c r="AA38" s="35" t="s">
        <v>59</v>
      </c>
      <c r="AB38" s="35" t="s">
        <v>60</v>
      </c>
      <c r="AC38" s="35" t="s">
        <v>58</v>
      </c>
      <c r="AD38" s="35" t="s">
        <v>59</v>
      </c>
      <c r="AE38" s="35" t="s">
        <v>60</v>
      </c>
      <c r="AF38" s="35" t="s">
        <v>58</v>
      </c>
      <c r="AG38" s="35" t="s">
        <v>59</v>
      </c>
      <c r="AH38" s="35" t="s">
        <v>60</v>
      </c>
      <c r="AI38" s="35" t="s">
        <v>58</v>
      </c>
      <c r="AJ38" s="35" t="s">
        <v>59</v>
      </c>
      <c r="AK38" s="35" t="s">
        <v>60</v>
      </c>
    </row>
    <row r="39" spans="2:37" x14ac:dyDescent="0.25">
      <c r="B39" s="71" t="s">
        <v>27</v>
      </c>
      <c r="C39" s="38">
        <f t="shared" ref="C39:C50" si="34">IF(F2="A",L2,0)</f>
        <v>0</v>
      </c>
      <c r="D39" s="38">
        <f t="shared" ref="D39:D50" si="35">IF(F2="A",J2+0,0)</f>
        <v>0</v>
      </c>
      <c r="E39" s="32" t="s">
        <v>25</v>
      </c>
      <c r="F39" s="38">
        <f t="shared" ref="F39:F50" si="36">IF(F2="B",L2,0)</f>
        <v>0</v>
      </c>
      <c r="G39" s="38">
        <f t="shared" ref="G39:G50" si="37">IF(F2="B",J2+0,0)</f>
        <v>0</v>
      </c>
      <c r="H39" s="30" t="s">
        <v>34</v>
      </c>
      <c r="I39" s="42">
        <f t="shared" ref="I39:I50" si="38">IF(F2="C",L2,0)</f>
        <v>0</v>
      </c>
      <c r="J39" s="38">
        <f t="shared" ref="J39:J50" si="39">IF(F2="C",J2+0,0)</f>
        <v>0</v>
      </c>
      <c r="K39" s="30" t="s">
        <v>29</v>
      </c>
      <c r="L39" s="42">
        <f t="shared" ref="L39:L50" si="40">IF(F2="D",L2,0)</f>
        <v>0</v>
      </c>
      <c r="M39" s="38">
        <f t="shared" ref="M39:M50" si="41">IF(F2="D",J2+0,0)</f>
        <v>0</v>
      </c>
      <c r="N39" s="30" t="s">
        <v>50</v>
      </c>
      <c r="O39" s="42">
        <f t="shared" ref="O39:O50" si="42">IF(F2="E",L2,0)</f>
        <v>0</v>
      </c>
      <c r="P39" s="38">
        <f t="shared" ref="P39:P50" si="43">IF(F2="E",J2+0,0)</f>
        <v>0</v>
      </c>
      <c r="Q39" s="30" t="s">
        <v>51</v>
      </c>
      <c r="R39" s="42">
        <f t="shared" ref="R39:R50" si="44">IF(F2="F",L2,0)</f>
        <v>0</v>
      </c>
      <c r="S39" s="38">
        <f t="shared" ref="S39:S50" si="45">IF(F2="F",J2+0,0)</f>
        <v>0</v>
      </c>
      <c r="T39" s="30" t="s">
        <v>52</v>
      </c>
      <c r="U39" s="42">
        <f t="shared" ref="U39:U50" si="46">IF(F2="G",L2,0)</f>
        <v>0</v>
      </c>
      <c r="V39" s="38">
        <f t="shared" ref="V39:V50" si="47">IF(F2="G",J2+0,0)</f>
        <v>0</v>
      </c>
      <c r="W39" s="30" t="s">
        <v>30</v>
      </c>
      <c r="X39" s="42">
        <f t="shared" ref="X39:X50" si="48">IF(F2="I",L2,0)</f>
        <v>0</v>
      </c>
      <c r="Y39" s="38">
        <f t="shared" ref="Y39:Y50" si="49">IF(F2="I",J2+0,0)</f>
        <v>0</v>
      </c>
      <c r="Z39" s="30" t="s">
        <v>53</v>
      </c>
      <c r="AA39" s="42">
        <f t="shared" ref="AA39:AA50" si="50">IF(F2="L",L2,0)</f>
        <v>0</v>
      </c>
      <c r="AB39" s="38">
        <f t="shared" ref="AB39:AB50" si="51">IF(F2="L",J2+0,0)</f>
        <v>0</v>
      </c>
      <c r="AC39" s="30" t="s">
        <v>31</v>
      </c>
      <c r="AD39" s="42">
        <f t="shared" ref="AD39:AD50" si="52">IF(F2="M",L2,0)</f>
        <v>0</v>
      </c>
      <c r="AE39" s="38">
        <f t="shared" ref="AE39:AE50" si="53">IF(F2="M",J2+0,0)</f>
        <v>0</v>
      </c>
      <c r="AF39" s="30" t="s">
        <v>33</v>
      </c>
      <c r="AG39" s="42">
        <f t="shared" ref="AG39:AG50" si="54">IF(F2="N",L2,0)</f>
        <v>0</v>
      </c>
      <c r="AH39" s="38">
        <f t="shared" ref="AH39:AH50" si="55">IF(F2="N",J2+0,0)</f>
        <v>0</v>
      </c>
      <c r="AI39" s="30" t="s">
        <v>32</v>
      </c>
      <c r="AJ39" s="42">
        <f t="shared" ref="AJ39:AJ50" si="56">IF(F2="P",L2,0)</f>
        <v>0</v>
      </c>
      <c r="AK39" s="36">
        <f t="shared" ref="AK39:AK50" si="57">IF(F2="P",J2+0,0)</f>
        <v>0</v>
      </c>
    </row>
    <row r="40" spans="2:37" x14ac:dyDescent="0.25">
      <c r="B40" s="72" t="s">
        <v>27</v>
      </c>
      <c r="C40" s="34">
        <f t="shared" si="34"/>
        <v>0</v>
      </c>
      <c r="D40" s="34">
        <f t="shared" si="35"/>
        <v>0</v>
      </c>
      <c r="E40" s="33" t="s">
        <v>25</v>
      </c>
      <c r="F40" s="34">
        <f t="shared" si="36"/>
        <v>0</v>
      </c>
      <c r="G40" s="34">
        <f t="shared" si="37"/>
        <v>0</v>
      </c>
      <c r="H40" s="29" t="s">
        <v>34</v>
      </c>
      <c r="I40" s="35">
        <f t="shared" si="38"/>
        <v>0</v>
      </c>
      <c r="J40" s="34">
        <f t="shared" si="39"/>
        <v>0</v>
      </c>
      <c r="K40" s="29" t="s">
        <v>29</v>
      </c>
      <c r="L40" s="35">
        <f t="shared" si="40"/>
        <v>0</v>
      </c>
      <c r="M40" s="34">
        <f t="shared" si="41"/>
        <v>0</v>
      </c>
      <c r="N40" s="29" t="s">
        <v>50</v>
      </c>
      <c r="O40" s="35">
        <f t="shared" si="42"/>
        <v>0</v>
      </c>
      <c r="P40" s="34">
        <f t="shared" si="43"/>
        <v>0</v>
      </c>
      <c r="Q40" s="29" t="s">
        <v>51</v>
      </c>
      <c r="R40" s="35">
        <f t="shared" si="44"/>
        <v>0</v>
      </c>
      <c r="S40" s="34">
        <f t="shared" si="45"/>
        <v>0</v>
      </c>
      <c r="T40" s="29" t="s">
        <v>52</v>
      </c>
      <c r="U40" s="35">
        <f t="shared" si="46"/>
        <v>0</v>
      </c>
      <c r="V40" s="34">
        <f t="shared" si="47"/>
        <v>0</v>
      </c>
      <c r="W40" s="29" t="s">
        <v>30</v>
      </c>
      <c r="X40" s="35">
        <f t="shared" si="48"/>
        <v>0</v>
      </c>
      <c r="Y40" s="34">
        <f t="shared" si="49"/>
        <v>0</v>
      </c>
      <c r="Z40" s="29" t="s">
        <v>53</v>
      </c>
      <c r="AA40" s="35">
        <f t="shared" si="50"/>
        <v>0</v>
      </c>
      <c r="AB40" s="34">
        <f t="shared" si="51"/>
        <v>0</v>
      </c>
      <c r="AC40" s="29" t="s">
        <v>31</v>
      </c>
      <c r="AD40" s="35">
        <f t="shared" si="52"/>
        <v>0</v>
      </c>
      <c r="AE40" s="34">
        <f t="shared" si="53"/>
        <v>0</v>
      </c>
      <c r="AF40" s="29" t="s">
        <v>33</v>
      </c>
      <c r="AG40" s="35">
        <f t="shared" si="54"/>
        <v>0</v>
      </c>
      <c r="AH40" s="34">
        <f t="shared" si="55"/>
        <v>0</v>
      </c>
      <c r="AI40" s="29" t="s">
        <v>32</v>
      </c>
      <c r="AJ40" s="35">
        <f t="shared" si="56"/>
        <v>0</v>
      </c>
      <c r="AK40" s="37">
        <f t="shared" si="57"/>
        <v>0</v>
      </c>
    </row>
    <row r="41" spans="2:37" x14ac:dyDescent="0.25">
      <c r="B41" s="72" t="s">
        <v>27</v>
      </c>
      <c r="C41" s="34">
        <f t="shared" si="34"/>
        <v>0</v>
      </c>
      <c r="D41" s="34">
        <f t="shared" si="35"/>
        <v>0</v>
      </c>
      <c r="E41" s="33" t="s">
        <v>25</v>
      </c>
      <c r="F41" s="34">
        <f t="shared" si="36"/>
        <v>0</v>
      </c>
      <c r="G41" s="34">
        <f t="shared" si="37"/>
        <v>0</v>
      </c>
      <c r="H41" s="29" t="s">
        <v>34</v>
      </c>
      <c r="I41" s="35">
        <f t="shared" si="38"/>
        <v>0</v>
      </c>
      <c r="J41" s="34">
        <f t="shared" si="39"/>
        <v>0</v>
      </c>
      <c r="K41" s="29" t="s">
        <v>29</v>
      </c>
      <c r="L41" s="35">
        <f t="shared" si="40"/>
        <v>0</v>
      </c>
      <c r="M41" s="34">
        <f t="shared" si="41"/>
        <v>0</v>
      </c>
      <c r="N41" s="29" t="s">
        <v>50</v>
      </c>
      <c r="O41" s="35">
        <f t="shared" si="42"/>
        <v>0</v>
      </c>
      <c r="P41" s="34">
        <f t="shared" si="43"/>
        <v>0</v>
      </c>
      <c r="Q41" s="29" t="s">
        <v>51</v>
      </c>
      <c r="R41" s="35">
        <f t="shared" si="44"/>
        <v>0</v>
      </c>
      <c r="S41" s="34">
        <f t="shared" si="45"/>
        <v>0</v>
      </c>
      <c r="T41" s="29" t="s">
        <v>52</v>
      </c>
      <c r="U41" s="35">
        <f t="shared" si="46"/>
        <v>0</v>
      </c>
      <c r="V41" s="34">
        <f t="shared" si="47"/>
        <v>0</v>
      </c>
      <c r="W41" s="29" t="s">
        <v>30</v>
      </c>
      <c r="X41" s="35">
        <f t="shared" si="48"/>
        <v>0</v>
      </c>
      <c r="Y41" s="34">
        <f t="shared" si="49"/>
        <v>0</v>
      </c>
      <c r="Z41" s="29" t="s">
        <v>53</v>
      </c>
      <c r="AA41" s="35">
        <f t="shared" si="50"/>
        <v>0</v>
      </c>
      <c r="AB41" s="34">
        <f t="shared" si="51"/>
        <v>0</v>
      </c>
      <c r="AC41" s="29" t="s">
        <v>31</v>
      </c>
      <c r="AD41" s="35">
        <f t="shared" si="52"/>
        <v>0</v>
      </c>
      <c r="AE41" s="34">
        <f t="shared" si="53"/>
        <v>0</v>
      </c>
      <c r="AF41" s="29" t="s">
        <v>33</v>
      </c>
      <c r="AG41" s="35">
        <f t="shared" si="54"/>
        <v>0</v>
      </c>
      <c r="AH41" s="34">
        <f t="shared" si="55"/>
        <v>0</v>
      </c>
      <c r="AI41" s="29" t="s">
        <v>32</v>
      </c>
      <c r="AJ41" s="35">
        <f t="shared" si="56"/>
        <v>0</v>
      </c>
      <c r="AK41" s="37">
        <f t="shared" si="57"/>
        <v>0</v>
      </c>
    </row>
    <row r="42" spans="2:37" x14ac:dyDescent="0.25">
      <c r="B42" s="72" t="s">
        <v>27</v>
      </c>
      <c r="C42" s="34">
        <f t="shared" si="34"/>
        <v>0</v>
      </c>
      <c r="D42" s="34">
        <f t="shared" si="35"/>
        <v>0</v>
      </c>
      <c r="E42" s="33" t="s">
        <v>25</v>
      </c>
      <c r="F42" s="34">
        <f t="shared" si="36"/>
        <v>0</v>
      </c>
      <c r="G42" s="34">
        <f t="shared" si="37"/>
        <v>0</v>
      </c>
      <c r="H42" s="29" t="s">
        <v>34</v>
      </c>
      <c r="I42" s="35">
        <f t="shared" si="38"/>
        <v>0</v>
      </c>
      <c r="J42" s="34">
        <f t="shared" si="39"/>
        <v>0</v>
      </c>
      <c r="K42" s="29" t="s">
        <v>29</v>
      </c>
      <c r="L42" s="35">
        <f t="shared" si="40"/>
        <v>0</v>
      </c>
      <c r="M42" s="34">
        <f t="shared" si="41"/>
        <v>0</v>
      </c>
      <c r="N42" s="29" t="s">
        <v>50</v>
      </c>
      <c r="O42" s="35">
        <f t="shared" si="42"/>
        <v>0</v>
      </c>
      <c r="P42" s="34">
        <f t="shared" si="43"/>
        <v>0</v>
      </c>
      <c r="Q42" s="29" t="s">
        <v>51</v>
      </c>
      <c r="R42" s="35">
        <f t="shared" si="44"/>
        <v>0</v>
      </c>
      <c r="S42" s="34">
        <f t="shared" si="45"/>
        <v>0</v>
      </c>
      <c r="T42" s="29" t="s">
        <v>52</v>
      </c>
      <c r="U42" s="35">
        <f t="shared" si="46"/>
        <v>0</v>
      </c>
      <c r="V42" s="34">
        <f t="shared" si="47"/>
        <v>0</v>
      </c>
      <c r="W42" s="29" t="s">
        <v>30</v>
      </c>
      <c r="X42" s="35">
        <f t="shared" si="48"/>
        <v>0</v>
      </c>
      <c r="Y42" s="34">
        <f t="shared" si="49"/>
        <v>0</v>
      </c>
      <c r="Z42" s="29" t="s">
        <v>53</v>
      </c>
      <c r="AA42" s="35">
        <f t="shared" si="50"/>
        <v>0</v>
      </c>
      <c r="AB42" s="34">
        <f t="shared" si="51"/>
        <v>0</v>
      </c>
      <c r="AC42" s="29" t="s">
        <v>31</v>
      </c>
      <c r="AD42" s="35">
        <f t="shared" si="52"/>
        <v>0</v>
      </c>
      <c r="AE42" s="34">
        <f t="shared" si="53"/>
        <v>0</v>
      </c>
      <c r="AF42" s="29" t="s">
        <v>33</v>
      </c>
      <c r="AG42" s="35">
        <f t="shared" si="54"/>
        <v>0</v>
      </c>
      <c r="AH42" s="34">
        <f t="shared" si="55"/>
        <v>0</v>
      </c>
      <c r="AI42" s="29" t="s">
        <v>32</v>
      </c>
      <c r="AJ42" s="35">
        <f t="shared" si="56"/>
        <v>0</v>
      </c>
      <c r="AK42" s="37">
        <f t="shared" si="57"/>
        <v>0</v>
      </c>
    </row>
    <row r="43" spans="2:37" x14ac:dyDescent="0.25">
      <c r="B43" s="72" t="s">
        <v>27</v>
      </c>
      <c r="C43" s="34">
        <f t="shared" si="34"/>
        <v>0</v>
      </c>
      <c r="D43" s="34">
        <f t="shared" si="35"/>
        <v>0</v>
      </c>
      <c r="E43" s="33" t="s">
        <v>25</v>
      </c>
      <c r="F43" s="34">
        <f t="shared" si="36"/>
        <v>0</v>
      </c>
      <c r="G43" s="34">
        <f t="shared" si="37"/>
        <v>0</v>
      </c>
      <c r="H43" s="29" t="s">
        <v>34</v>
      </c>
      <c r="I43" s="35">
        <f t="shared" si="38"/>
        <v>0</v>
      </c>
      <c r="J43" s="34">
        <f t="shared" si="39"/>
        <v>0</v>
      </c>
      <c r="K43" s="29" t="s">
        <v>29</v>
      </c>
      <c r="L43" s="35">
        <f t="shared" si="40"/>
        <v>0</v>
      </c>
      <c r="M43" s="34">
        <f t="shared" si="41"/>
        <v>0</v>
      </c>
      <c r="N43" s="29" t="s">
        <v>50</v>
      </c>
      <c r="O43" s="35">
        <f t="shared" si="42"/>
        <v>0</v>
      </c>
      <c r="P43" s="34">
        <f t="shared" si="43"/>
        <v>0</v>
      </c>
      <c r="Q43" s="29" t="s">
        <v>51</v>
      </c>
      <c r="R43" s="35">
        <f t="shared" si="44"/>
        <v>0</v>
      </c>
      <c r="S43" s="34">
        <f t="shared" si="45"/>
        <v>0</v>
      </c>
      <c r="T43" s="29" t="s">
        <v>52</v>
      </c>
      <c r="U43" s="35">
        <f t="shared" si="46"/>
        <v>0</v>
      </c>
      <c r="V43" s="34">
        <f t="shared" si="47"/>
        <v>0</v>
      </c>
      <c r="W43" s="29" t="s">
        <v>30</v>
      </c>
      <c r="X43" s="35">
        <f t="shared" si="48"/>
        <v>0</v>
      </c>
      <c r="Y43" s="34">
        <f t="shared" si="49"/>
        <v>0</v>
      </c>
      <c r="Z43" s="29" t="s">
        <v>53</v>
      </c>
      <c r="AA43" s="35">
        <f t="shared" si="50"/>
        <v>0</v>
      </c>
      <c r="AB43" s="34">
        <f t="shared" si="51"/>
        <v>0</v>
      </c>
      <c r="AC43" s="29" t="s">
        <v>31</v>
      </c>
      <c r="AD43" s="35">
        <f t="shared" si="52"/>
        <v>0</v>
      </c>
      <c r="AE43" s="34">
        <f t="shared" si="53"/>
        <v>0</v>
      </c>
      <c r="AF43" s="29" t="s">
        <v>33</v>
      </c>
      <c r="AG43" s="35">
        <f t="shared" si="54"/>
        <v>0</v>
      </c>
      <c r="AH43" s="34">
        <f t="shared" si="55"/>
        <v>0</v>
      </c>
      <c r="AI43" s="29" t="s">
        <v>32</v>
      </c>
      <c r="AJ43" s="35">
        <f t="shared" si="56"/>
        <v>0</v>
      </c>
      <c r="AK43" s="37">
        <f t="shared" si="57"/>
        <v>0</v>
      </c>
    </row>
    <row r="44" spans="2:37" x14ac:dyDescent="0.25">
      <c r="B44" s="72" t="s">
        <v>27</v>
      </c>
      <c r="C44" s="34">
        <f t="shared" si="34"/>
        <v>0</v>
      </c>
      <c r="D44" s="34">
        <f t="shared" si="35"/>
        <v>0</v>
      </c>
      <c r="E44" s="33" t="s">
        <v>25</v>
      </c>
      <c r="F44" s="34">
        <f t="shared" si="36"/>
        <v>0</v>
      </c>
      <c r="G44" s="34">
        <f t="shared" si="37"/>
        <v>0</v>
      </c>
      <c r="H44" s="29" t="s">
        <v>34</v>
      </c>
      <c r="I44" s="35">
        <f t="shared" si="38"/>
        <v>0</v>
      </c>
      <c r="J44" s="34">
        <f t="shared" si="39"/>
        <v>0</v>
      </c>
      <c r="K44" s="29" t="s">
        <v>29</v>
      </c>
      <c r="L44" s="35">
        <f t="shared" si="40"/>
        <v>0</v>
      </c>
      <c r="M44" s="34">
        <f t="shared" si="41"/>
        <v>0</v>
      </c>
      <c r="N44" s="29" t="s">
        <v>50</v>
      </c>
      <c r="O44" s="35">
        <f t="shared" si="42"/>
        <v>0</v>
      </c>
      <c r="P44" s="34">
        <f t="shared" si="43"/>
        <v>0</v>
      </c>
      <c r="Q44" s="29" t="s">
        <v>51</v>
      </c>
      <c r="R44" s="35">
        <f t="shared" si="44"/>
        <v>0</v>
      </c>
      <c r="S44" s="34">
        <f t="shared" si="45"/>
        <v>0</v>
      </c>
      <c r="T44" s="29" t="s">
        <v>52</v>
      </c>
      <c r="U44" s="35">
        <f t="shared" si="46"/>
        <v>0</v>
      </c>
      <c r="V44" s="34">
        <f t="shared" si="47"/>
        <v>0</v>
      </c>
      <c r="W44" s="29" t="s">
        <v>30</v>
      </c>
      <c r="X44" s="35">
        <f t="shared" si="48"/>
        <v>0</v>
      </c>
      <c r="Y44" s="34">
        <f t="shared" si="49"/>
        <v>0</v>
      </c>
      <c r="Z44" s="29" t="s">
        <v>53</v>
      </c>
      <c r="AA44" s="35">
        <f t="shared" si="50"/>
        <v>0</v>
      </c>
      <c r="AB44" s="34">
        <f t="shared" si="51"/>
        <v>0</v>
      </c>
      <c r="AC44" s="29" t="s">
        <v>31</v>
      </c>
      <c r="AD44" s="35">
        <f t="shared" si="52"/>
        <v>0</v>
      </c>
      <c r="AE44" s="34">
        <f t="shared" si="53"/>
        <v>0</v>
      </c>
      <c r="AF44" s="29" t="s">
        <v>33</v>
      </c>
      <c r="AG44" s="35">
        <f t="shared" si="54"/>
        <v>0</v>
      </c>
      <c r="AH44" s="34">
        <f t="shared" si="55"/>
        <v>0</v>
      </c>
      <c r="AI44" s="29" t="s">
        <v>32</v>
      </c>
      <c r="AJ44" s="35">
        <f t="shared" si="56"/>
        <v>0</v>
      </c>
      <c r="AK44" s="37">
        <f t="shared" si="57"/>
        <v>0</v>
      </c>
    </row>
    <row r="45" spans="2:37" x14ac:dyDescent="0.25">
      <c r="B45" s="72" t="s">
        <v>27</v>
      </c>
      <c r="C45" s="34">
        <f t="shared" si="34"/>
        <v>0</v>
      </c>
      <c r="D45" s="34">
        <f t="shared" si="35"/>
        <v>0</v>
      </c>
      <c r="E45" s="33" t="s">
        <v>25</v>
      </c>
      <c r="F45" s="34">
        <f t="shared" si="36"/>
        <v>0</v>
      </c>
      <c r="G45" s="34">
        <f t="shared" si="37"/>
        <v>0</v>
      </c>
      <c r="H45" s="29" t="s">
        <v>34</v>
      </c>
      <c r="I45" s="35">
        <f t="shared" si="38"/>
        <v>0</v>
      </c>
      <c r="J45" s="34">
        <f t="shared" si="39"/>
        <v>0</v>
      </c>
      <c r="K45" s="29" t="s">
        <v>29</v>
      </c>
      <c r="L45" s="35">
        <f t="shared" si="40"/>
        <v>0</v>
      </c>
      <c r="M45" s="34">
        <f t="shared" si="41"/>
        <v>0</v>
      </c>
      <c r="N45" s="29" t="s">
        <v>50</v>
      </c>
      <c r="O45" s="35">
        <f t="shared" si="42"/>
        <v>0</v>
      </c>
      <c r="P45" s="34">
        <f t="shared" si="43"/>
        <v>0</v>
      </c>
      <c r="Q45" s="29" t="s">
        <v>51</v>
      </c>
      <c r="R45" s="35">
        <f t="shared" si="44"/>
        <v>0</v>
      </c>
      <c r="S45" s="34">
        <f t="shared" si="45"/>
        <v>0</v>
      </c>
      <c r="T45" s="29" t="s">
        <v>52</v>
      </c>
      <c r="U45" s="35">
        <f t="shared" si="46"/>
        <v>0</v>
      </c>
      <c r="V45" s="34">
        <f t="shared" si="47"/>
        <v>0</v>
      </c>
      <c r="W45" s="29" t="s">
        <v>30</v>
      </c>
      <c r="X45" s="35">
        <f t="shared" si="48"/>
        <v>0</v>
      </c>
      <c r="Y45" s="34">
        <f t="shared" si="49"/>
        <v>0</v>
      </c>
      <c r="Z45" s="29" t="s">
        <v>53</v>
      </c>
      <c r="AA45" s="35">
        <f t="shared" si="50"/>
        <v>0</v>
      </c>
      <c r="AB45" s="34">
        <f t="shared" si="51"/>
        <v>0</v>
      </c>
      <c r="AC45" s="29" t="s">
        <v>31</v>
      </c>
      <c r="AD45" s="35">
        <f t="shared" si="52"/>
        <v>0</v>
      </c>
      <c r="AE45" s="34">
        <f t="shared" si="53"/>
        <v>0</v>
      </c>
      <c r="AF45" s="29" t="s">
        <v>33</v>
      </c>
      <c r="AG45" s="35">
        <f t="shared" si="54"/>
        <v>0</v>
      </c>
      <c r="AH45" s="34">
        <f t="shared" si="55"/>
        <v>0</v>
      </c>
      <c r="AI45" s="29" t="s">
        <v>32</v>
      </c>
      <c r="AJ45" s="35">
        <f t="shared" si="56"/>
        <v>0</v>
      </c>
      <c r="AK45" s="37">
        <f t="shared" si="57"/>
        <v>0</v>
      </c>
    </row>
    <row r="46" spans="2:37" x14ac:dyDescent="0.25">
      <c r="B46" s="73" t="s">
        <v>27</v>
      </c>
      <c r="C46" s="34">
        <f t="shared" si="34"/>
        <v>0</v>
      </c>
      <c r="D46" s="34">
        <f t="shared" si="35"/>
        <v>0</v>
      </c>
      <c r="E46" s="33" t="s">
        <v>25</v>
      </c>
      <c r="F46" s="34">
        <f t="shared" si="36"/>
        <v>0</v>
      </c>
      <c r="G46" s="34">
        <f t="shared" si="37"/>
        <v>0</v>
      </c>
      <c r="H46" s="29" t="s">
        <v>34</v>
      </c>
      <c r="I46" s="35">
        <f t="shared" si="38"/>
        <v>0</v>
      </c>
      <c r="J46" s="34">
        <f t="shared" si="39"/>
        <v>0</v>
      </c>
      <c r="K46" s="29" t="s">
        <v>29</v>
      </c>
      <c r="L46" s="35">
        <f t="shared" si="40"/>
        <v>0</v>
      </c>
      <c r="M46" s="34">
        <f t="shared" si="41"/>
        <v>0</v>
      </c>
      <c r="N46" s="29" t="s">
        <v>50</v>
      </c>
      <c r="O46" s="35">
        <f t="shared" si="42"/>
        <v>0</v>
      </c>
      <c r="P46" s="34">
        <f t="shared" si="43"/>
        <v>0</v>
      </c>
      <c r="Q46" s="29" t="s">
        <v>51</v>
      </c>
      <c r="R46" s="35">
        <f t="shared" si="44"/>
        <v>0</v>
      </c>
      <c r="S46" s="34">
        <f t="shared" si="45"/>
        <v>0</v>
      </c>
      <c r="T46" s="29" t="s">
        <v>52</v>
      </c>
      <c r="U46" s="35">
        <f t="shared" si="46"/>
        <v>0</v>
      </c>
      <c r="V46" s="34">
        <f t="shared" si="47"/>
        <v>0</v>
      </c>
      <c r="W46" s="29" t="s">
        <v>30</v>
      </c>
      <c r="X46" s="35">
        <f t="shared" si="48"/>
        <v>0</v>
      </c>
      <c r="Y46" s="34">
        <f t="shared" si="49"/>
        <v>0</v>
      </c>
      <c r="Z46" s="29" t="s">
        <v>53</v>
      </c>
      <c r="AA46" s="35">
        <f t="shared" si="50"/>
        <v>0</v>
      </c>
      <c r="AB46" s="34">
        <f t="shared" si="51"/>
        <v>0</v>
      </c>
      <c r="AC46" s="29" t="s">
        <v>31</v>
      </c>
      <c r="AD46" s="35">
        <f t="shared" si="52"/>
        <v>0</v>
      </c>
      <c r="AE46" s="34">
        <f t="shared" si="53"/>
        <v>0</v>
      </c>
      <c r="AF46" s="29" t="s">
        <v>33</v>
      </c>
      <c r="AG46" s="35">
        <f t="shared" si="54"/>
        <v>0</v>
      </c>
      <c r="AH46" s="34">
        <f t="shared" si="55"/>
        <v>0</v>
      </c>
      <c r="AI46" s="29" t="s">
        <v>32</v>
      </c>
      <c r="AJ46" s="35">
        <f t="shared" si="56"/>
        <v>0</v>
      </c>
      <c r="AK46" s="37">
        <f t="shared" si="57"/>
        <v>0</v>
      </c>
    </row>
    <row r="47" spans="2:37" x14ac:dyDescent="0.25">
      <c r="B47" s="73" t="s">
        <v>27</v>
      </c>
      <c r="C47" s="34">
        <f t="shared" si="34"/>
        <v>0</v>
      </c>
      <c r="D47" s="34">
        <f t="shared" si="35"/>
        <v>0</v>
      </c>
      <c r="E47" s="33" t="s">
        <v>25</v>
      </c>
      <c r="F47" s="34">
        <f t="shared" si="36"/>
        <v>0</v>
      </c>
      <c r="G47" s="34">
        <f t="shared" si="37"/>
        <v>0</v>
      </c>
      <c r="H47" s="29" t="s">
        <v>34</v>
      </c>
      <c r="I47" s="35">
        <f t="shared" si="38"/>
        <v>0</v>
      </c>
      <c r="J47" s="34">
        <f t="shared" si="39"/>
        <v>0</v>
      </c>
      <c r="K47" s="29" t="s">
        <v>29</v>
      </c>
      <c r="L47" s="35">
        <f t="shared" si="40"/>
        <v>0</v>
      </c>
      <c r="M47" s="34">
        <f t="shared" si="41"/>
        <v>0</v>
      </c>
      <c r="N47" s="29" t="s">
        <v>50</v>
      </c>
      <c r="O47" s="35">
        <f t="shared" si="42"/>
        <v>0</v>
      </c>
      <c r="P47" s="34">
        <f t="shared" si="43"/>
        <v>0</v>
      </c>
      <c r="Q47" s="29" t="s">
        <v>51</v>
      </c>
      <c r="R47" s="35">
        <f t="shared" si="44"/>
        <v>0</v>
      </c>
      <c r="S47" s="34">
        <f t="shared" si="45"/>
        <v>0</v>
      </c>
      <c r="T47" s="29" t="s">
        <v>52</v>
      </c>
      <c r="U47" s="35">
        <f t="shared" si="46"/>
        <v>0</v>
      </c>
      <c r="V47" s="34">
        <f t="shared" si="47"/>
        <v>0</v>
      </c>
      <c r="W47" s="29" t="s">
        <v>30</v>
      </c>
      <c r="X47" s="35">
        <f t="shared" si="48"/>
        <v>0</v>
      </c>
      <c r="Y47" s="34">
        <f t="shared" si="49"/>
        <v>0</v>
      </c>
      <c r="Z47" s="29" t="s">
        <v>53</v>
      </c>
      <c r="AA47" s="35">
        <f t="shared" si="50"/>
        <v>0</v>
      </c>
      <c r="AB47" s="34">
        <f t="shared" si="51"/>
        <v>0</v>
      </c>
      <c r="AC47" s="29" t="s">
        <v>31</v>
      </c>
      <c r="AD47" s="35">
        <f t="shared" si="52"/>
        <v>0</v>
      </c>
      <c r="AE47" s="34">
        <f t="shared" si="53"/>
        <v>0</v>
      </c>
      <c r="AF47" s="29" t="s">
        <v>33</v>
      </c>
      <c r="AG47" s="35">
        <f t="shared" si="54"/>
        <v>0</v>
      </c>
      <c r="AH47" s="34">
        <f t="shared" si="55"/>
        <v>0</v>
      </c>
      <c r="AI47" s="29" t="s">
        <v>32</v>
      </c>
      <c r="AJ47" s="35">
        <f t="shared" si="56"/>
        <v>0</v>
      </c>
      <c r="AK47" s="37">
        <f t="shared" si="57"/>
        <v>0</v>
      </c>
    </row>
    <row r="48" spans="2:37" x14ac:dyDescent="0.25">
      <c r="B48" s="73" t="s">
        <v>27</v>
      </c>
      <c r="C48" s="34">
        <f t="shared" si="34"/>
        <v>0</v>
      </c>
      <c r="D48" s="34">
        <f t="shared" si="35"/>
        <v>0</v>
      </c>
      <c r="E48" s="33" t="s">
        <v>25</v>
      </c>
      <c r="F48" s="34">
        <f t="shared" si="36"/>
        <v>0</v>
      </c>
      <c r="G48" s="34">
        <f t="shared" si="37"/>
        <v>0</v>
      </c>
      <c r="H48" s="29" t="s">
        <v>34</v>
      </c>
      <c r="I48" s="35">
        <f t="shared" si="38"/>
        <v>0</v>
      </c>
      <c r="J48" s="34">
        <f t="shared" si="39"/>
        <v>0</v>
      </c>
      <c r="K48" s="29" t="s">
        <v>29</v>
      </c>
      <c r="L48" s="35">
        <f t="shared" si="40"/>
        <v>0</v>
      </c>
      <c r="M48" s="34">
        <f t="shared" si="41"/>
        <v>0</v>
      </c>
      <c r="N48" s="29" t="s">
        <v>50</v>
      </c>
      <c r="O48" s="35">
        <f t="shared" si="42"/>
        <v>0</v>
      </c>
      <c r="P48" s="34">
        <f t="shared" si="43"/>
        <v>0</v>
      </c>
      <c r="Q48" s="29" t="s">
        <v>51</v>
      </c>
      <c r="R48" s="35">
        <f t="shared" si="44"/>
        <v>0</v>
      </c>
      <c r="S48" s="34">
        <f t="shared" si="45"/>
        <v>0</v>
      </c>
      <c r="T48" s="29" t="s">
        <v>52</v>
      </c>
      <c r="U48" s="35">
        <f t="shared" si="46"/>
        <v>0</v>
      </c>
      <c r="V48" s="34">
        <f t="shared" si="47"/>
        <v>0</v>
      </c>
      <c r="W48" s="29" t="s">
        <v>30</v>
      </c>
      <c r="X48" s="35">
        <f t="shared" si="48"/>
        <v>0</v>
      </c>
      <c r="Y48" s="34">
        <f t="shared" si="49"/>
        <v>0</v>
      </c>
      <c r="Z48" s="29" t="s">
        <v>53</v>
      </c>
      <c r="AA48" s="35">
        <f t="shared" si="50"/>
        <v>0</v>
      </c>
      <c r="AB48" s="34">
        <f t="shared" si="51"/>
        <v>0</v>
      </c>
      <c r="AC48" s="29" t="s">
        <v>31</v>
      </c>
      <c r="AD48" s="35">
        <f t="shared" si="52"/>
        <v>0</v>
      </c>
      <c r="AE48" s="34">
        <f t="shared" si="53"/>
        <v>0</v>
      </c>
      <c r="AF48" s="29" t="s">
        <v>33</v>
      </c>
      <c r="AG48" s="35">
        <f t="shared" si="54"/>
        <v>0</v>
      </c>
      <c r="AH48" s="34">
        <f t="shared" si="55"/>
        <v>0</v>
      </c>
      <c r="AI48" s="29" t="s">
        <v>32</v>
      </c>
      <c r="AJ48" s="35">
        <f t="shared" si="56"/>
        <v>0</v>
      </c>
      <c r="AK48" s="37">
        <f t="shared" si="57"/>
        <v>0</v>
      </c>
    </row>
    <row r="49" spans="2:37" x14ac:dyDescent="0.25">
      <c r="B49" s="73" t="s">
        <v>27</v>
      </c>
      <c r="C49" s="34">
        <f t="shared" si="34"/>
        <v>0</v>
      </c>
      <c r="D49" s="34">
        <f t="shared" si="35"/>
        <v>0</v>
      </c>
      <c r="E49" s="33" t="s">
        <v>25</v>
      </c>
      <c r="F49" s="34">
        <f t="shared" si="36"/>
        <v>0</v>
      </c>
      <c r="G49" s="34">
        <f t="shared" si="37"/>
        <v>0</v>
      </c>
      <c r="H49" s="29" t="s">
        <v>34</v>
      </c>
      <c r="I49" s="35">
        <f t="shared" si="38"/>
        <v>0</v>
      </c>
      <c r="J49" s="34">
        <f t="shared" si="39"/>
        <v>0</v>
      </c>
      <c r="K49" s="29" t="s">
        <v>29</v>
      </c>
      <c r="L49" s="35">
        <f t="shared" si="40"/>
        <v>0</v>
      </c>
      <c r="M49" s="34">
        <f t="shared" si="41"/>
        <v>0</v>
      </c>
      <c r="N49" s="29" t="s">
        <v>50</v>
      </c>
      <c r="O49" s="35">
        <f t="shared" si="42"/>
        <v>0</v>
      </c>
      <c r="P49" s="34">
        <f t="shared" si="43"/>
        <v>0</v>
      </c>
      <c r="Q49" s="29" t="s">
        <v>51</v>
      </c>
      <c r="R49" s="35">
        <f t="shared" si="44"/>
        <v>0</v>
      </c>
      <c r="S49" s="34">
        <f t="shared" si="45"/>
        <v>0</v>
      </c>
      <c r="T49" s="29" t="s">
        <v>52</v>
      </c>
      <c r="U49" s="35">
        <f t="shared" si="46"/>
        <v>0</v>
      </c>
      <c r="V49" s="34">
        <f t="shared" si="47"/>
        <v>0</v>
      </c>
      <c r="W49" s="29" t="s">
        <v>30</v>
      </c>
      <c r="X49" s="35">
        <f t="shared" si="48"/>
        <v>0</v>
      </c>
      <c r="Y49" s="34">
        <f t="shared" si="49"/>
        <v>0</v>
      </c>
      <c r="Z49" s="29" t="s">
        <v>53</v>
      </c>
      <c r="AA49" s="35">
        <f t="shared" si="50"/>
        <v>0</v>
      </c>
      <c r="AB49" s="34">
        <f t="shared" si="51"/>
        <v>0</v>
      </c>
      <c r="AC49" s="29" t="s">
        <v>31</v>
      </c>
      <c r="AD49" s="35">
        <f t="shared" si="52"/>
        <v>0</v>
      </c>
      <c r="AE49" s="34">
        <f t="shared" si="53"/>
        <v>0</v>
      </c>
      <c r="AF49" s="29" t="s">
        <v>33</v>
      </c>
      <c r="AG49" s="35">
        <f t="shared" si="54"/>
        <v>0</v>
      </c>
      <c r="AH49" s="34">
        <f t="shared" si="55"/>
        <v>0</v>
      </c>
      <c r="AI49" s="29" t="s">
        <v>32</v>
      </c>
      <c r="AJ49" s="35">
        <f t="shared" si="56"/>
        <v>0</v>
      </c>
      <c r="AK49" s="37">
        <f t="shared" si="57"/>
        <v>0</v>
      </c>
    </row>
    <row r="50" spans="2:37" x14ac:dyDescent="0.25">
      <c r="B50" s="73" t="s">
        <v>27</v>
      </c>
      <c r="C50" s="34">
        <f t="shared" si="34"/>
        <v>0</v>
      </c>
      <c r="D50" s="34">
        <f t="shared" si="35"/>
        <v>0</v>
      </c>
      <c r="E50" s="33" t="s">
        <v>25</v>
      </c>
      <c r="F50" s="34">
        <f t="shared" si="36"/>
        <v>0</v>
      </c>
      <c r="G50" s="34">
        <f t="shared" si="37"/>
        <v>0</v>
      </c>
      <c r="H50" s="29" t="s">
        <v>34</v>
      </c>
      <c r="I50" s="35">
        <f t="shared" si="38"/>
        <v>0</v>
      </c>
      <c r="J50" s="34">
        <f t="shared" si="39"/>
        <v>0</v>
      </c>
      <c r="K50" s="29" t="s">
        <v>29</v>
      </c>
      <c r="L50" s="35">
        <f t="shared" si="40"/>
        <v>0</v>
      </c>
      <c r="M50" s="34">
        <f t="shared" si="41"/>
        <v>0</v>
      </c>
      <c r="N50" s="29" t="s">
        <v>50</v>
      </c>
      <c r="O50" s="35">
        <f t="shared" si="42"/>
        <v>0</v>
      </c>
      <c r="P50" s="34">
        <f t="shared" si="43"/>
        <v>0</v>
      </c>
      <c r="Q50" s="29" t="s">
        <v>51</v>
      </c>
      <c r="R50" s="35">
        <f t="shared" si="44"/>
        <v>0</v>
      </c>
      <c r="S50" s="34">
        <f t="shared" si="45"/>
        <v>0</v>
      </c>
      <c r="T50" s="29" t="s">
        <v>52</v>
      </c>
      <c r="U50" s="35">
        <f t="shared" si="46"/>
        <v>0</v>
      </c>
      <c r="V50" s="34">
        <f t="shared" si="47"/>
        <v>0</v>
      </c>
      <c r="W50" s="29" t="s">
        <v>30</v>
      </c>
      <c r="X50" s="35">
        <f t="shared" si="48"/>
        <v>0</v>
      </c>
      <c r="Y50" s="34">
        <f t="shared" si="49"/>
        <v>0</v>
      </c>
      <c r="Z50" s="29" t="s">
        <v>53</v>
      </c>
      <c r="AA50" s="35">
        <f t="shared" si="50"/>
        <v>0</v>
      </c>
      <c r="AB50" s="34">
        <f t="shared" si="51"/>
        <v>0</v>
      </c>
      <c r="AC50" s="29" t="s">
        <v>31</v>
      </c>
      <c r="AD50" s="35">
        <f t="shared" si="52"/>
        <v>0</v>
      </c>
      <c r="AE50" s="34">
        <f t="shared" si="53"/>
        <v>0</v>
      </c>
      <c r="AF50" s="29" t="s">
        <v>33</v>
      </c>
      <c r="AG50" s="35">
        <f t="shared" si="54"/>
        <v>0</v>
      </c>
      <c r="AH50" s="34">
        <f t="shared" si="55"/>
        <v>0</v>
      </c>
      <c r="AI50" s="29" t="s">
        <v>32</v>
      </c>
      <c r="AJ50" s="35">
        <f t="shared" si="56"/>
        <v>0</v>
      </c>
      <c r="AK50" s="37">
        <f t="shared" si="57"/>
        <v>0</v>
      </c>
    </row>
    <row r="51" spans="2:37" x14ac:dyDescent="0.25">
      <c r="B51" s="75"/>
      <c r="C51" s="54">
        <f>C39+C40+C41+C42+C43+C44+C45+C46+C47+C48+C49+C50</f>
        <v>0</v>
      </c>
      <c r="D51" s="54">
        <f t="shared" ref="D51:AK51" si="58">D39+D40+D41+D42+D43+D44+D45+D46+D47+D48+D49+D50</f>
        <v>0</v>
      </c>
      <c r="E51" s="54" t="s">
        <v>26</v>
      </c>
      <c r="F51" s="54">
        <f t="shared" si="58"/>
        <v>0</v>
      </c>
      <c r="G51" s="54">
        <f t="shared" si="58"/>
        <v>0</v>
      </c>
      <c r="H51" s="54" t="s">
        <v>26</v>
      </c>
      <c r="I51" s="54">
        <f t="shared" si="58"/>
        <v>0</v>
      </c>
      <c r="J51" s="54">
        <f t="shared" si="58"/>
        <v>0</v>
      </c>
      <c r="K51" s="54" t="s">
        <v>26</v>
      </c>
      <c r="L51" s="54">
        <f t="shared" si="58"/>
        <v>0</v>
      </c>
      <c r="M51" s="54">
        <f t="shared" si="58"/>
        <v>0</v>
      </c>
      <c r="N51" s="54" t="s">
        <v>26</v>
      </c>
      <c r="O51" s="54">
        <f t="shared" si="58"/>
        <v>0</v>
      </c>
      <c r="P51" s="54">
        <f t="shared" si="58"/>
        <v>0</v>
      </c>
      <c r="Q51" s="54" t="s">
        <v>26</v>
      </c>
      <c r="R51" s="54">
        <f t="shared" si="58"/>
        <v>0</v>
      </c>
      <c r="S51" s="54">
        <f t="shared" si="58"/>
        <v>0</v>
      </c>
      <c r="T51" s="54" t="s">
        <v>26</v>
      </c>
      <c r="U51" s="54">
        <f t="shared" si="58"/>
        <v>0</v>
      </c>
      <c r="V51" s="54">
        <f t="shared" si="58"/>
        <v>0</v>
      </c>
      <c r="W51" s="54" t="s">
        <v>26</v>
      </c>
      <c r="X51" s="54">
        <f t="shared" si="58"/>
        <v>0</v>
      </c>
      <c r="Y51" s="54">
        <f t="shared" si="58"/>
        <v>0</v>
      </c>
      <c r="Z51" s="54" t="s">
        <v>26</v>
      </c>
      <c r="AA51" s="54">
        <f t="shared" si="58"/>
        <v>0</v>
      </c>
      <c r="AB51" s="54">
        <f t="shared" si="58"/>
        <v>0</v>
      </c>
      <c r="AC51" s="54" t="s">
        <v>26</v>
      </c>
      <c r="AD51" s="54">
        <f t="shared" si="58"/>
        <v>0</v>
      </c>
      <c r="AE51" s="54">
        <f t="shared" si="58"/>
        <v>0</v>
      </c>
      <c r="AF51" s="54" t="s">
        <v>26</v>
      </c>
      <c r="AG51" s="54">
        <f t="shared" si="58"/>
        <v>0</v>
      </c>
      <c r="AH51" s="54">
        <f t="shared" si="58"/>
        <v>0</v>
      </c>
      <c r="AI51" s="54" t="s">
        <v>26</v>
      </c>
      <c r="AJ51" s="54">
        <f t="shared" si="58"/>
        <v>0</v>
      </c>
      <c r="AK51" s="55">
        <f t="shared" si="58"/>
        <v>0</v>
      </c>
    </row>
    <row r="52" spans="2:37" x14ac:dyDescent="0.25">
      <c r="B52" s="76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9" t="s">
        <v>26</v>
      </c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spans="2:37" ht="15.75" thickBot="1" x14ac:dyDescent="0.3">
      <c r="B53" s="77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</row>
    <row r="54" spans="2:37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</row>
    <row r="55" spans="2:37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</row>
    <row r="56" spans="2:37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</row>
    <row r="57" spans="2:37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</row>
    <row r="58" spans="2:37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</row>
    <row r="59" spans="2:37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</row>
    <row r="60" spans="2:37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</row>
    <row r="61" spans="2:37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</row>
    <row r="62" spans="2:37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</row>
    <row r="63" spans="2:37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</row>
    <row r="64" spans="2:37" x14ac:dyDescent="0.25">
      <c r="B64" s="8"/>
      <c r="C64" s="63" t="s">
        <v>63</v>
      </c>
      <c r="D64" s="63"/>
      <c r="E64" s="63" t="e">
        <f>SUM(D65:D76)</f>
        <v>#DIV/0!</v>
      </c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</row>
    <row r="65" spans="2:37" x14ac:dyDescent="0.25">
      <c r="B65" s="8"/>
      <c r="C65" s="8" t="s">
        <v>27</v>
      </c>
      <c r="D65" s="28" t="e">
        <f>T2+W2</f>
        <v>#DIV/0!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</row>
    <row r="66" spans="2:37" x14ac:dyDescent="0.25">
      <c r="B66" s="8"/>
      <c r="C66" s="8" t="s">
        <v>25</v>
      </c>
      <c r="D66" s="28" t="e">
        <f t="shared" ref="D66:D76" si="59">T3+W3</f>
        <v>#DIV/0!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</row>
    <row r="67" spans="2:37" x14ac:dyDescent="0.25">
      <c r="B67" s="8"/>
      <c r="C67" s="8" t="s">
        <v>34</v>
      </c>
      <c r="D67" s="28" t="e">
        <f t="shared" si="59"/>
        <v>#DIV/0!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</row>
    <row r="68" spans="2:37" x14ac:dyDescent="0.25">
      <c r="B68" s="8"/>
      <c r="C68" s="8" t="s">
        <v>29</v>
      </c>
      <c r="D68" s="28" t="e">
        <f>T5+W5</f>
        <v>#DIV/0!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</row>
    <row r="69" spans="2:37" x14ac:dyDescent="0.25">
      <c r="B69" s="8"/>
      <c r="C69" s="8" t="s">
        <v>50</v>
      </c>
      <c r="D69" s="28" t="e">
        <f t="shared" si="59"/>
        <v>#DIV/0!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</row>
    <row r="70" spans="2:37" x14ac:dyDescent="0.25">
      <c r="B70" s="8"/>
      <c r="C70" s="8" t="s">
        <v>51</v>
      </c>
      <c r="D70" s="28" t="e">
        <f t="shared" si="59"/>
        <v>#DIV/0!</v>
      </c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</row>
    <row r="71" spans="2:37" x14ac:dyDescent="0.25">
      <c r="B71" s="8"/>
      <c r="C71" s="8" t="s">
        <v>52</v>
      </c>
      <c r="D71" s="28" t="e">
        <f t="shared" si="59"/>
        <v>#DIV/0!</v>
      </c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</row>
    <row r="72" spans="2:37" x14ac:dyDescent="0.25">
      <c r="B72" s="8"/>
      <c r="C72" s="8" t="s">
        <v>30</v>
      </c>
      <c r="D72" s="28" t="e">
        <f t="shared" si="59"/>
        <v>#DIV/0!</v>
      </c>
      <c r="E72" s="8"/>
      <c r="F72" s="8"/>
      <c r="G72" s="8"/>
      <c r="H72" s="44" t="s">
        <v>26</v>
      </c>
      <c r="I72" s="44" t="s">
        <v>26</v>
      </c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</row>
    <row r="73" spans="2:37" x14ac:dyDescent="0.25">
      <c r="B73" s="8"/>
      <c r="C73" s="8" t="s">
        <v>53</v>
      </c>
      <c r="D73" s="28" t="e">
        <f t="shared" si="59"/>
        <v>#DIV/0!</v>
      </c>
      <c r="E73" s="8"/>
      <c r="F73" s="8"/>
      <c r="G73" s="8"/>
      <c r="H73" s="44" t="s">
        <v>26</v>
      </c>
      <c r="I73" s="44" t="s">
        <v>26</v>
      </c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</row>
    <row r="74" spans="2:37" x14ac:dyDescent="0.25">
      <c r="B74" s="8"/>
      <c r="C74" s="8" t="s">
        <v>31</v>
      </c>
      <c r="D74" s="28" t="e">
        <f t="shared" si="59"/>
        <v>#DIV/0!</v>
      </c>
      <c r="E74" s="8"/>
      <c r="F74" s="8"/>
      <c r="G74" s="8"/>
      <c r="H74" s="44" t="s">
        <v>26</v>
      </c>
      <c r="I74" s="44" t="s">
        <v>26</v>
      </c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</row>
    <row r="75" spans="2:37" x14ac:dyDescent="0.25">
      <c r="B75" s="8"/>
      <c r="C75" s="8" t="s">
        <v>33</v>
      </c>
      <c r="D75" s="28" t="e">
        <f t="shared" si="59"/>
        <v>#DIV/0!</v>
      </c>
      <c r="E75" s="8"/>
      <c r="F75" s="8"/>
      <c r="G75" s="8"/>
      <c r="H75" s="44" t="s">
        <v>26</v>
      </c>
      <c r="I75" s="44" t="s">
        <v>26</v>
      </c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</row>
    <row r="76" spans="2:37" x14ac:dyDescent="0.25">
      <c r="B76" s="8"/>
      <c r="C76" s="8" t="s">
        <v>32</v>
      </c>
      <c r="D76" s="28" t="e">
        <f t="shared" si="59"/>
        <v>#DIV/0!</v>
      </c>
      <c r="E76" s="8"/>
      <c r="F76" s="8"/>
      <c r="G76" s="8"/>
      <c r="H76" s="44" t="s">
        <v>26</v>
      </c>
      <c r="I76" s="44" t="s">
        <v>26</v>
      </c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</row>
    <row r="77" spans="2:37" ht="15" customHeight="1" x14ac:dyDescent="0.25">
      <c r="C77" s="28"/>
      <c r="D77" s="28"/>
      <c r="E77" s="28"/>
      <c r="F77" s="28"/>
      <c r="G77" s="28"/>
      <c r="H77" s="28"/>
      <c r="I77" s="70" t="s">
        <v>26</v>
      </c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</row>
    <row r="78" spans="2:37" ht="15" customHeight="1" x14ac:dyDescent="0.25"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</row>
    <row r="79" spans="2:37" ht="15" customHeight="1" x14ac:dyDescent="0.25"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100"/>
    </row>
    <row r="80" spans="2:37" ht="15" customHeight="1" x14ac:dyDescent="0.25"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100"/>
    </row>
    <row r="81" spans="2:20" ht="15" customHeight="1" x14ac:dyDescent="0.25"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100"/>
    </row>
    <row r="82" spans="2:20" ht="15" customHeight="1" x14ac:dyDescent="0.25"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</row>
    <row r="83" spans="2:20" ht="15" customHeight="1" thickBot="1" x14ac:dyDescent="0.3"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</row>
    <row r="84" spans="2:20" ht="15" customHeight="1" thickBot="1" x14ac:dyDescent="0.3">
      <c r="B84" s="221" t="s">
        <v>73</v>
      </c>
      <c r="C84" s="222"/>
      <c r="D84" s="244" t="str">
        <f>'Data Entry'!E3</f>
        <v>(new trade)</v>
      </c>
      <c r="E84" s="245" t="s">
        <v>74</v>
      </c>
      <c r="F84" s="223" t="str">
        <f>'Data Entry'!E6</f>
        <v xml:space="preserve"> </v>
      </c>
      <c r="G84" s="224" t="str">
        <f>'Data Entry'!E8</f>
        <v xml:space="preserve"> </v>
      </c>
      <c r="H84" s="225" t="str">
        <f>'Data Entry'!H8</f>
        <v xml:space="preserve"> </v>
      </c>
      <c r="I84" s="226" t="s">
        <v>75</v>
      </c>
      <c r="J84" s="222" t="str">
        <f>'Data Entry'!H10</f>
        <v xml:space="preserve"> </v>
      </c>
      <c r="K84" s="227"/>
      <c r="L84" s="213"/>
      <c r="M84" s="214"/>
      <c r="N84" s="9" t="s">
        <v>26</v>
      </c>
      <c r="O84" s="28"/>
      <c r="P84" s="9" t="s">
        <v>26</v>
      </c>
      <c r="Q84" s="9" t="s">
        <v>26</v>
      </c>
      <c r="R84" s="99"/>
      <c r="S84" s="99"/>
    </row>
    <row r="85" spans="2:20" ht="9.75" customHeight="1" thickBot="1" x14ac:dyDescent="0.3">
      <c r="B85" s="228"/>
      <c r="C85" s="34"/>
      <c r="D85" s="151"/>
      <c r="E85" s="209"/>
      <c r="F85" s="9"/>
      <c r="G85" s="229"/>
      <c r="H85" s="101"/>
      <c r="I85" s="220"/>
      <c r="J85" s="219"/>
      <c r="K85" s="28"/>
      <c r="L85" s="28"/>
      <c r="M85" s="215"/>
      <c r="N85" s="9"/>
      <c r="O85" s="28"/>
      <c r="P85" s="9"/>
      <c r="Q85" s="9"/>
      <c r="R85" s="99"/>
      <c r="S85" s="99"/>
    </row>
    <row r="86" spans="2:20" ht="15" customHeight="1" thickBot="1" x14ac:dyDescent="0.3">
      <c r="B86" s="221" t="s">
        <v>94</v>
      </c>
      <c r="C86" s="222"/>
      <c r="D86" s="223">
        <f>IF('Data Entry'!M4='Comm Calc'!B17,'Data Entry'!L4,0)</f>
        <v>0</v>
      </c>
      <c r="E86" s="232">
        <f>IF(B17&lt;&gt;E87,B17,0)</f>
        <v>0</v>
      </c>
      <c r="F86" s="100"/>
      <c r="G86" s="221" t="s">
        <v>76</v>
      </c>
      <c r="H86" s="222"/>
      <c r="I86" s="230">
        <f ca="1">'Data Entry'!N10</f>
        <v>43732</v>
      </c>
      <c r="J86" s="230"/>
      <c r="K86" s="221" t="s">
        <v>78</v>
      </c>
      <c r="L86" s="222"/>
      <c r="M86" s="231">
        <f ca="1">workday</f>
        <v>43734</v>
      </c>
      <c r="N86" s="9"/>
      <c r="O86" s="103"/>
      <c r="P86" s="9"/>
      <c r="Q86" s="9"/>
      <c r="R86" s="99"/>
      <c r="S86" s="99"/>
    </row>
    <row r="87" spans="2:20" ht="15" customHeight="1" x14ac:dyDescent="0.25">
      <c r="B87" s="217"/>
      <c r="C87" s="104" t="s">
        <v>26</v>
      </c>
      <c r="D87" s="107" t="str">
        <f>IF(B17='Data Entry'!M4,0,'Data Entry'!L4)</f>
        <v xml:space="preserve"> </v>
      </c>
      <c r="E87" s="212" t="str">
        <f>IF('Data Entry'!M4='Comm Calc'!B17,0,'Data Entry'!M4)</f>
        <v xml:space="preserve"> </v>
      </c>
      <c r="F87" s="102"/>
      <c r="G87" s="102"/>
      <c r="H87" s="103"/>
      <c r="I87" s="102"/>
      <c r="J87" s="9"/>
      <c r="K87" s="102"/>
      <c r="L87" s="102"/>
      <c r="M87" s="216"/>
      <c r="N87" s="9"/>
      <c r="O87" s="103"/>
      <c r="P87" s="9"/>
      <c r="Q87" s="9"/>
      <c r="R87" s="99"/>
      <c r="S87" s="99"/>
    </row>
    <row r="88" spans="2:20" ht="15" customHeight="1" x14ac:dyDescent="0.25">
      <c r="B88" s="217"/>
      <c r="C88" s="104" t="s">
        <v>26</v>
      </c>
      <c r="D88" s="106" t="str">
        <f>IF(E88&gt;0,'Data Entry'!L5,0)</f>
        <v xml:space="preserve"> </v>
      </c>
      <c r="E88" s="212" t="str">
        <f>IF('Data Entry'!M5='Comm Calc'!B17,0,'Data Entry'!M5)</f>
        <v xml:space="preserve"> </v>
      </c>
      <c r="F88" s="28"/>
      <c r="G88" s="107"/>
      <c r="H88" s="28"/>
      <c r="I88" s="28"/>
      <c r="J88" s="28"/>
      <c r="K88" s="99" t="s">
        <v>26</v>
      </c>
      <c r="L88" s="309" t="s">
        <v>26</v>
      </c>
      <c r="M88" s="310"/>
      <c r="N88" s="99"/>
      <c r="O88" s="99"/>
      <c r="P88" s="99"/>
      <c r="Q88" s="99"/>
      <c r="R88" s="99"/>
      <c r="S88" s="9"/>
      <c r="T88" s="9"/>
    </row>
    <row r="89" spans="2:20" ht="15" customHeight="1" thickBot="1" x14ac:dyDescent="0.3">
      <c r="B89" s="217"/>
      <c r="C89" s="104"/>
      <c r="D89" s="106">
        <f>IF(E89&gt;0,'Data Entry'!L6,0)</f>
        <v>0</v>
      </c>
      <c r="E89" s="212">
        <f>IF('Data Entry'!M6='Comm Calc'!B17,0,'Data Entry'!M6)</f>
        <v>0</v>
      </c>
      <c r="F89" s="28"/>
      <c r="G89" s="107"/>
      <c r="H89" s="28"/>
      <c r="I89" s="28"/>
      <c r="J89" s="28"/>
      <c r="K89" s="99"/>
      <c r="L89" s="105"/>
      <c r="M89" s="306"/>
      <c r="N89" s="99"/>
      <c r="O89" s="99"/>
      <c r="P89" s="99"/>
      <c r="Q89" s="99"/>
      <c r="R89" s="99"/>
      <c r="S89" s="9"/>
      <c r="T89" s="9"/>
    </row>
    <row r="90" spans="2:20" ht="15" customHeight="1" thickBot="1" x14ac:dyDescent="0.3">
      <c r="B90" s="304" t="s">
        <v>96</v>
      </c>
      <c r="C90" s="240" t="s">
        <v>97</v>
      </c>
      <c r="D90" s="243" t="s">
        <v>98</v>
      </c>
      <c r="E90" s="243" t="s">
        <v>1</v>
      </c>
      <c r="F90" s="240" t="s">
        <v>45</v>
      </c>
      <c r="G90" s="239" t="s">
        <v>46</v>
      </c>
      <c r="H90" s="311" t="s">
        <v>79</v>
      </c>
      <c r="I90" s="311"/>
      <c r="J90" s="239" t="s">
        <v>6</v>
      </c>
      <c r="K90" s="239" t="s">
        <v>7</v>
      </c>
      <c r="L90" s="242" t="s">
        <v>9</v>
      </c>
      <c r="M90" s="241" t="s">
        <v>99</v>
      </c>
      <c r="N90" s="99"/>
      <c r="O90" s="99"/>
      <c r="P90" s="99"/>
      <c r="Q90" s="99"/>
      <c r="R90" s="9"/>
      <c r="S90" s="9"/>
    </row>
    <row r="91" spans="2:20" ht="15" customHeight="1" x14ac:dyDescent="0.25">
      <c r="B91" s="217" t="str">
        <f>'Data Entry'!G17</f>
        <v xml:space="preserve"> </v>
      </c>
      <c r="C91" s="28" t="str">
        <f>'Data Entry'!D17</f>
        <v xml:space="preserve"> </v>
      </c>
      <c r="D91" s="28" t="str">
        <f>'Data Entry'!E17</f>
        <v xml:space="preserve"> </v>
      </c>
      <c r="E91" s="98" t="str">
        <f>'Data Entry'!F17</f>
        <v xml:space="preserve"> </v>
      </c>
      <c r="F91" s="28">
        <f>'Data Entry'!H17</f>
        <v>0</v>
      </c>
      <c r="G91" s="28">
        <f>'Data Entry'!I17</f>
        <v>0</v>
      </c>
      <c r="H91" s="211" t="str">
        <f>'Data Entry'!K17</f>
        <v xml:space="preserve"> </v>
      </c>
      <c r="I91" s="98" t="str">
        <f>'Data Entry'!J17</f>
        <v xml:space="preserve"> </v>
      </c>
      <c r="J91" s="56">
        <f>'Data Entry'!M17</f>
        <v>0</v>
      </c>
      <c r="K91" s="210">
        <f>'Data Entry'!N17</f>
        <v>0</v>
      </c>
      <c r="L91" s="28">
        <f>'Data Entry'!O17</f>
        <v>0</v>
      </c>
      <c r="M91" s="233" t="str">
        <f>'Data Entry'!R17</f>
        <v xml:space="preserve"> </v>
      </c>
      <c r="N91" s="28"/>
      <c r="O91" s="28"/>
      <c r="P91" s="28"/>
      <c r="Q91" s="28"/>
      <c r="R91" s="100"/>
    </row>
    <row r="92" spans="2:20" ht="15" customHeight="1" x14ac:dyDescent="0.25">
      <c r="B92" s="217" t="str">
        <f>'Data Entry'!G18</f>
        <v xml:space="preserve"> </v>
      </c>
      <c r="C92" s="28" t="str">
        <f>'Data Entry'!D18</f>
        <v xml:space="preserve"> </v>
      </c>
      <c r="D92" s="28" t="str">
        <f>'Data Entry'!E18</f>
        <v xml:space="preserve"> </v>
      </c>
      <c r="E92" s="98" t="str">
        <f>'Data Entry'!F18</f>
        <v xml:space="preserve"> </v>
      </c>
      <c r="F92" s="28">
        <f>'Data Entry'!H18</f>
        <v>0</v>
      </c>
      <c r="G92" s="28">
        <f>'Data Entry'!I18</f>
        <v>0</v>
      </c>
      <c r="H92" s="211" t="str">
        <f>'Data Entry'!K18</f>
        <v xml:space="preserve"> </v>
      </c>
      <c r="I92" s="98" t="str">
        <f>'Data Entry'!J18</f>
        <v xml:space="preserve"> </v>
      </c>
      <c r="J92" s="56">
        <f>'Data Entry'!M18</f>
        <v>0</v>
      </c>
      <c r="K92" s="210">
        <f>'Data Entry'!N18</f>
        <v>0</v>
      </c>
      <c r="L92" s="28">
        <f>'Data Entry'!O18</f>
        <v>0</v>
      </c>
      <c r="M92" s="233" t="str">
        <f>'Data Entry'!R18</f>
        <v xml:space="preserve"> </v>
      </c>
      <c r="N92" s="28"/>
      <c r="O92" s="28"/>
      <c r="P92" s="28"/>
      <c r="Q92" s="28"/>
      <c r="R92" s="100"/>
    </row>
    <row r="93" spans="2:20" ht="15" customHeight="1" x14ac:dyDescent="0.25">
      <c r="B93" s="217" t="str">
        <f>'Data Entry'!G19</f>
        <v xml:space="preserve"> </v>
      </c>
      <c r="C93" s="28" t="str">
        <f>'Data Entry'!D19</f>
        <v xml:space="preserve"> </v>
      </c>
      <c r="D93" s="28" t="str">
        <f>'Data Entry'!E19</f>
        <v xml:space="preserve"> </v>
      </c>
      <c r="E93" s="98">
        <f>'Data Entry'!F19</f>
        <v>0</v>
      </c>
      <c r="F93" s="28">
        <f>'Data Entry'!H19</f>
        <v>0</v>
      </c>
      <c r="G93" s="28">
        <f>'Data Entry'!I19</f>
        <v>0</v>
      </c>
      <c r="H93" s="211" t="str">
        <f>'Data Entry'!K19</f>
        <v xml:space="preserve"> </v>
      </c>
      <c r="I93" s="98">
        <f>'Data Entry'!J19</f>
        <v>0</v>
      </c>
      <c r="J93" s="56">
        <f>'Data Entry'!M19</f>
        <v>0</v>
      </c>
      <c r="K93" s="210">
        <f>'Data Entry'!N19</f>
        <v>0</v>
      </c>
      <c r="L93" s="28">
        <f>'Data Entry'!O19</f>
        <v>0</v>
      </c>
      <c r="M93" s="233">
        <f>'Data Entry'!R19</f>
        <v>0</v>
      </c>
      <c r="N93" s="28"/>
      <c r="O93" s="28"/>
      <c r="P93" s="28"/>
      <c r="Q93" s="28"/>
      <c r="R93" s="100"/>
    </row>
    <row r="94" spans="2:20" ht="15" customHeight="1" x14ac:dyDescent="0.25">
      <c r="B94" s="217" t="str">
        <f>'Data Entry'!G20</f>
        <v xml:space="preserve"> </v>
      </c>
      <c r="C94" s="28" t="str">
        <f>'Data Entry'!D20</f>
        <v xml:space="preserve"> </v>
      </c>
      <c r="D94" s="28" t="str">
        <f>'Data Entry'!E20</f>
        <v xml:space="preserve"> </v>
      </c>
      <c r="E94" s="98">
        <f>'Data Entry'!F20</f>
        <v>0</v>
      </c>
      <c r="F94" s="28">
        <f>'Data Entry'!H20</f>
        <v>0</v>
      </c>
      <c r="G94" s="28">
        <f>'Data Entry'!I20</f>
        <v>0</v>
      </c>
      <c r="H94" s="211">
        <f>'Data Entry'!K20</f>
        <v>0</v>
      </c>
      <c r="I94" s="98">
        <f>'Data Entry'!J20</f>
        <v>0</v>
      </c>
      <c r="J94" s="56">
        <f>'Data Entry'!M20</f>
        <v>0</v>
      </c>
      <c r="K94" s="210">
        <f>'Data Entry'!N20</f>
        <v>0</v>
      </c>
      <c r="L94" s="28">
        <f>'Data Entry'!O20</f>
        <v>0</v>
      </c>
      <c r="M94" s="233">
        <f>'Data Entry'!R20</f>
        <v>0</v>
      </c>
      <c r="N94" s="28"/>
      <c r="O94" s="28"/>
      <c r="P94" s="28"/>
      <c r="Q94" s="28"/>
      <c r="R94" s="100"/>
    </row>
    <row r="95" spans="2:20" ht="15" customHeight="1" x14ac:dyDescent="0.25">
      <c r="B95" s="217" t="str">
        <f>'Data Entry'!G21</f>
        <v xml:space="preserve"> </v>
      </c>
      <c r="C95" s="28" t="str">
        <f>'Data Entry'!D21</f>
        <v xml:space="preserve"> </v>
      </c>
      <c r="D95" s="28" t="str">
        <f>'Data Entry'!E21</f>
        <v xml:space="preserve"> </v>
      </c>
      <c r="E95" s="98">
        <f>'Data Entry'!F21</f>
        <v>0</v>
      </c>
      <c r="F95" s="28">
        <f>'Data Entry'!H21</f>
        <v>0</v>
      </c>
      <c r="G95" s="28">
        <f>'Data Entry'!I21</f>
        <v>0</v>
      </c>
      <c r="H95" s="211">
        <f>'Data Entry'!K21</f>
        <v>0</v>
      </c>
      <c r="I95" s="98">
        <f>'Data Entry'!J21</f>
        <v>0</v>
      </c>
      <c r="J95" s="56">
        <f>'Data Entry'!M21</f>
        <v>0</v>
      </c>
      <c r="K95" s="210">
        <f>'Data Entry'!N21</f>
        <v>0</v>
      </c>
      <c r="L95" s="28">
        <f>'Data Entry'!O21</f>
        <v>0</v>
      </c>
      <c r="M95" s="233">
        <f>'Data Entry'!R21</f>
        <v>0</v>
      </c>
      <c r="N95" s="28"/>
      <c r="O95" s="28"/>
      <c r="P95" s="28"/>
      <c r="Q95" s="28"/>
      <c r="R95" s="100"/>
    </row>
    <row r="96" spans="2:20" ht="15" customHeight="1" x14ac:dyDescent="0.25">
      <c r="B96" s="217" t="str">
        <f>'Data Entry'!G22</f>
        <v xml:space="preserve"> </v>
      </c>
      <c r="C96" s="28" t="str">
        <f>'Data Entry'!D22</f>
        <v xml:space="preserve"> </v>
      </c>
      <c r="D96" s="28" t="str">
        <f>'Data Entry'!E22</f>
        <v xml:space="preserve"> </v>
      </c>
      <c r="E96" s="98">
        <f>'Data Entry'!F22</f>
        <v>0</v>
      </c>
      <c r="F96" s="28">
        <f>'Data Entry'!H22</f>
        <v>0</v>
      </c>
      <c r="G96" s="28">
        <f>'Data Entry'!I22</f>
        <v>0</v>
      </c>
      <c r="H96" s="211">
        <f>'Data Entry'!K22</f>
        <v>0</v>
      </c>
      <c r="I96" s="98">
        <f>'Data Entry'!J22</f>
        <v>0</v>
      </c>
      <c r="J96" s="56">
        <f>'Data Entry'!M22</f>
        <v>0</v>
      </c>
      <c r="K96" s="210">
        <f>'Data Entry'!N22</f>
        <v>0</v>
      </c>
      <c r="L96" s="28">
        <f>'Data Entry'!O22</f>
        <v>0</v>
      </c>
      <c r="M96" s="233">
        <f>'Data Entry'!R22</f>
        <v>0</v>
      </c>
      <c r="N96" s="28"/>
      <c r="O96" s="28"/>
      <c r="P96" s="28"/>
      <c r="Q96" s="28"/>
      <c r="R96" s="100"/>
    </row>
    <row r="97" spans="2:30" ht="15" customHeight="1" x14ac:dyDescent="0.25">
      <c r="B97" s="217" t="str">
        <f>'Data Entry'!G23</f>
        <v xml:space="preserve"> </v>
      </c>
      <c r="C97" s="28" t="str">
        <f>'Data Entry'!D23</f>
        <v xml:space="preserve"> </v>
      </c>
      <c r="D97" s="28" t="str">
        <f>'Data Entry'!E23</f>
        <v xml:space="preserve"> </v>
      </c>
      <c r="E97" s="98">
        <f>'Data Entry'!F23</f>
        <v>0</v>
      </c>
      <c r="F97" s="28">
        <f>'Data Entry'!H23</f>
        <v>0</v>
      </c>
      <c r="G97" s="28">
        <f>'Data Entry'!I23</f>
        <v>0</v>
      </c>
      <c r="H97" s="211">
        <f>'Data Entry'!K23</f>
        <v>0</v>
      </c>
      <c r="I97" s="98">
        <f>'Data Entry'!J23</f>
        <v>0</v>
      </c>
      <c r="J97" s="56">
        <f>'Data Entry'!M23</f>
        <v>0</v>
      </c>
      <c r="K97" s="210">
        <f>'Data Entry'!N23</f>
        <v>0</v>
      </c>
      <c r="L97" s="28">
        <f>'Data Entry'!O23</f>
        <v>0</v>
      </c>
      <c r="M97" s="233">
        <f>'Data Entry'!R23</f>
        <v>0</v>
      </c>
      <c r="N97" s="28"/>
      <c r="O97" s="28"/>
      <c r="P97" s="28"/>
      <c r="Q97" s="28"/>
      <c r="R97" s="100"/>
    </row>
    <row r="98" spans="2:30" ht="15" customHeight="1" x14ac:dyDescent="0.25">
      <c r="B98" s="217" t="str">
        <f>'Data Entry'!G24</f>
        <v xml:space="preserve"> </v>
      </c>
      <c r="C98" s="28" t="str">
        <f>'Data Entry'!D24</f>
        <v xml:space="preserve"> </v>
      </c>
      <c r="D98" s="28" t="str">
        <f>'Data Entry'!E24</f>
        <v xml:space="preserve"> </v>
      </c>
      <c r="E98" s="98">
        <f>'Data Entry'!F24</f>
        <v>0</v>
      </c>
      <c r="F98" s="28">
        <f>'Data Entry'!H24</f>
        <v>0</v>
      </c>
      <c r="G98" s="28">
        <f>'Data Entry'!I24</f>
        <v>0</v>
      </c>
      <c r="H98" s="211">
        <f>'Data Entry'!K24</f>
        <v>0</v>
      </c>
      <c r="I98" s="98">
        <f>'Data Entry'!J24</f>
        <v>0</v>
      </c>
      <c r="J98" s="56">
        <f>'Data Entry'!M24</f>
        <v>0</v>
      </c>
      <c r="K98" s="210">
        <f>'Data Entry'!N24</f>
        <v>0</v>
      </c>
      <c r="L98" s="28">
        <f>'Data Entry'!O24</f>
        <v>0</v>
      </c>
      <c r="M98" s="233">
        <f>'Data Entry'!R24</f>
        <v>0</v>
      </c>
      <c r="N98" s="28"/>
      <c r="O98" s="28"/>
      <c r="P98" s="28"/>
      <c r="Q98" s="28"/>
      <c r="R98" s="100"/>
    </row>
    <row r="99" spans="2:30" ht="15" customHeight="1" x14ac:dyDescent="0.25">
      <c r="B99" s="217" t="str">
        <f>'Data Entry'!G25</f>
        <v xml:space="preserve"> </v>
      </c>
      <c r="C99" s="28" t="str">
        <f>'Data Entry'!D25</f>
        <v xml:space="preserve"> </v>
      </c>
      <c r="D99" s="28" t="str">
        <f>'Data Entry'!E25</f>
        <v xml:space="preserve"> </v>
      </c>
      <c r="E99" s="98">
        <f>'Data Entry'!F25</f>
        <v>0</v>
      </c>
      <c r="F99" s="28">
        <f>'Data Entry'!H25</f>
        <v>0</v>
      </c>
      <c r="G99" s="28">
        <f>'Data Entry'!I25</f>
        <v>0</v>
      </c>
      <c r="H99" s="211">
        <f>'Data Entry'!K25</f>
        <v>0</v>
      </c>
      <c r="I99" s="98">
        <f>'Data Entry'!J25</f>
        <v>0</v>
      </c>
      <c r="J99" s="56">
        <f>'Data Entry'!M25</f>
        <v>0</v>
      </c>
      <c r="K99" s="210">
        <f>'Data Entry'!N25</f>
        <v>0</v>
      </c>
      <c r="L99" s="28">
        <f>'Data Entry'!O25</f>
        <v>0</v>
      </c>
      <c r="M99" s="233">
        <f>'Data Entry'!R25</f>
        <v>0</v>
      </c>
      <c r="N99" s="28"/>
      <c r="O99" s="28"/>
      <c r="P99" s="28"/>
      <c r="Q99" s="28"/>
      <c r="R99" s="100"/>
    </row>
    <row r="100" spans="2:30" ht="15" customHeight="1" x14ac:dyDescent="0.25">
      <c r="B100" s="217" t="str">
        <f>'Data Entry'!G26</f>
        <v xml:space="preserve"> </v>
      </c>
      <c r="C100" s="28" t="str">
        <f>'Data Entry'!D26</f>
        <v xml:space="preserve"> </v>
      </c>
      <c r="D100" s="28" t="str">
        <f>'Data Entry'!E26</f>
        <v xml:space="preserve"> </v>
      </c>
      <c r="E100" s="98">
        <f>'Data Entry'!F26</f>
        <v>0</v>
      </c>
      <c r="F100" s="28">
        <f>'Data Entry'!H26</f>
        <v>0</v>
      </c>
      <c r="G100" s="28">
        <f>'Data Entry'!I26</f>
        <v>0</v>
      </c>
      <c r="H100" s="211">
        <f>'Data Entry'!K26</f>
        <v>0</v>
      </c>
      <c r="I100" s="98">
        <f>'Data Entry'!J26</f>
        <v>0</v>
      </c>
      <c r="J100" s="56">
        <f>'Data Entry'!M26</f>
        <v>0</v>
      </c>
      <c r="K100" s="210">
        <f>'Data Entry'!N26</f>
        <v>0</v>
      </c>
      <c r="L100" s="28">
        <f>'Data Entry'!O26</f>
        <v>0</v>
      </c>
      <c r="M100" s="233">
        <f>'Data Entry'!R26</f>
        <v>0</v>
      </c>
      <c r="N100" s="28"/>
      <c r="O100" s="28"/>
      <c r="P100" s="28"/>
      <c r="Q100" s="28"/>
      <c r="R100" s="100"/>
    </row>
    <row r="101" spans="2:30" ht="15" customHeight="1" x14ac:dyDescent="0.25">
      <c r="B101" s="217" t="str">
        <f>'Data Entry'!G27</f>
        <v xml:space="preserve"> </v>
      </c>
      <c r="C101" s="28" t="str">
        <f>'Data Entry'!D27</f>
        <v xml:space="preserve"> </v>
      </c>
      <c r="D101" s="28" t="str">
        <f>'Data Entry'!E27</f>
        <v xml:space="preserve"> </v>
      </c>
      <c r="E101" s="98">
        <f>'Data Entry'!F27</f>
        <v>0</v>
      </c>
      <c r="F101" s="28">
        <f>'Data Entry'!H27</f>
        <v>0</v>
      </c>
      <c r="G101" s="28">
        <f>'Data Entry'!I27</f>
        <v>0</v>
      </c>
      <c r="H101" s="211">
        <f>'Data Entry'!K27</f>
        <v>0</v>
      </c>
      <c r="I101" s="98">
        <f>'Data Entry'!J27</f>
        <v>0</v>
      </c>
      <c r="J101" s="56">
        <f>'Data Entry'!M27</f>
        <v>0</v>
      </c>
      <c r="K101" s="210">
        <f>'Data Entry'!N27</f>
        <v>0</v>
      </c>
      <c r="L101" s="28">
        <f>'Data Entry'!O27</f>
        <v>0</v>
      </c>
      <c r="M101" s="233">
        <f>'Data Entry'!R27</f>
        <v>0</v>
      </c>
      <c r="N101" s="28"/>
      <c r="O101" s="28"/>
      <c r="P101" s="28"/>
      <c r="Q101" s="28"/>
      <c r="R101" s="100"/>
    </row>
    <row r="102" spans="2:30" ht="15" customHeight="1" x14ac:dyDescent="0.25">
      <c r="B102" s="217" t="str">
        <f>'Data Entry'!G28</f>
        <v xml:space="preserve"> </v>
      </c>
      <c r="C102" s="28" t="str">
        <f>'Data Entry'!D28</f>
        <v xml:space="preserve"> </v>
      </c>
      <c r="D102" s="28" t="str">
        <f>'Data Entry'!E28</f>
        <v xml:space="preserve"> </v>
      </c>
      <c r="E102" s="98">
        <f>'Data Entry'!F28</f>
        <v>0</v>
      </c>
      <c r="F102" s="28">
        <f>'Data Entry'!H28</f>
        <v>0</v>
      </c>
      <c r="G102" s="28">
        <f>'Data Entry'!I28</f>
        <v>0</v>
      </c>
      <c r="H102" s="211">
        <f>'Data Entry'!K28</f>
        <v>0</v>
      </c>
      <c r="I102" s="98">
        <f>'Data Entry'!J28</f>
        <v>0</v>
      </c>
      <c r="J102" s="56">
        <f>'Data Entry'!M28</f>
        <v>0</v>
      </c>
      <c r="K102" s="210">
        <f>'Data Entry'!N28</f>
        <v>0</v>
      </c>
      <c r="L102" s="28">
        <f>'Data Entry'!O28</f>
        <v>0</v>
      </c>
      <c r="M102" s="233">
        <f>'Data Entry'!R28</f>
        <v>0</v>
      </c>
      <c r="N102" s="28"/>
      <c r="O102" s="28"/>
      <c r="P102" s="28"/>
      <c r="Q102" s="28"/>
      <c r="R102" s="100"/>
    </row>
    <row r="103" spans="2:30" ht="15" customHeight="1" x14ac:dyDescent="0.25">
      <c r="B103" s="217" t="str">
        <f>'Data Entry'!G29</f>
        <v xml:space="preserve"> </v>
      </c>
      <c r="C103" s="28" t="str">
        <f>'Data Entry'!D29</f>
        <v xml:space="preserve"> </v>
      </c>
      <c r="D103" s="28" t="str">
        <f>'Data Entry'!E29</f>
        <v xml:space="preserve"> </v>
      </c>
      <c r="E103" s="98">
        <f>'Data Entry'!F29</f>
        <v>0</v>
      </c>
      <c r="F103" s="28">
        <f>'Data Entry'!H29</f>
        <v>0</v>
      </c>
      <c r="G103" s="28">
        <f>'Data Entry'!I29</f>
        <v>0</v>
      </c>
      <c r="H103" s="211">
        <f>'Data Entry'!K29</f>
        <v>0</v>
      </c>
      <c r="I103" s="98">
        <f>'Data Entry'!J29</f>
        <v>0</v>
      </c>
      <c r="J103" s="56">
        <f>'Data Entry'!M29</f>
        <v>0</v>
      </c>
      <c r="K103" s="210">
        <f>'Data Entry'!N29</f>
        <v>0</v>
      </c>
      <c r="L103" s="28">
        <f>'Data Entry'!O29</f>
        <v>0</v>
      </c>
      <c r="M103" s="233">
        <f>'Data Entry'!R29</f>
        <v>0</v>
      </c>
      <c r="N103" s="28"/>
      <c r="O103" s="28"/>
      <c r="P103" s="28"/>
      <c r="Q103" s="28"/>
      <c r="R103" s="100"/>
    </row>
    <row r="104" spans="2:30" ht="15" customHeight="1" thickBot="1" x14ac:dyDescent="0.3">
      <c r="B104" s="218" t="str">
        <f>'Data Entry'!G30</f>
        <v xml:space="preserve"> </v>
      </c>
      <c r="C104" s="234" t="str">
        <f>'Data Entry'!D30</f>
        <v xml:space="preserve"> </v>
      </c>
      <c r="D104" s="234" t="str">
        <f>'Data Entry'!E30</f>
        <v xml:space="preserve"> </v>
      </c>
      <c r="E104" s="236">
        <f>'Data Entry'!F30</f>
        <v>0</v>
      </c>
      <c r="F104" s="234">
        <f>'Data Entry'!H30</f>
        <v>0</v>
      </c>
      <c r="G104" s="234">
        <f>'Data Entry'!I30</f>
        <v>0</v>
      </c>
      <c r="H104" s="235">
        <f>'Data Entry'!K30</f>
        <v>0</v>
      </c>
      <c r="I104" s="236">
        <f>'Data Entry'!J30</f>
        <v>0</v>
      </c>
      <c r="J104" s="305">
        <f>'Data Entry'!M30</f>
        <v>0</v>
      </c>
      <c r="K104" s="237">
        <f>'Data Entry'!N30</f>
        <v>0</v>
      </c>
      <c r="L104" s="234">
        <f>'Data Entry'!O30</f>
        <v>0</v>
      </c>
      <c r="M104" s="238">
        <f>'Data Entry'!R30</f>
        <v>0</v>
      </c>
      <c r="N104" s="28"/>
      <c r="O104" s="28"/>
      <c r="P104" s="28"/>
      <c r="Q104" s="28"/>
      <c r="R104" s="100"/>
    </row>
    <row r="105" spans="2:30" ht="15" customHeight="1" x14ac:dyDescent="0.25">
      <c r="B105" s="211"/>
      <c r="C105" s="28"/>
      <c r="D105" s="28"/>
      <c r="E105" s="28"/>
      <c r="F105" s="28"/>
      <c r="G105" s="2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</row>
    <row r="106" spans="2:30" ht="15" customHeight="1" x14ac:dyDescent="0.25">
      <c r="B106" s="28"/>
      <c r="C106" s="28"/>
      <c r="D106" s="28"/>
      <c r="E106" s="28"/>
      <c r="F106" s="2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</row>
    <row r="107" spans="2:30" ht="15" customHeight="1" x14ac:dyDescent="0.25">
      <c r="B107" s="28"/>
      <c r="C107" s="28"/>
      <c r="D107" s="28"/>
      <c r="E107" s="28"/>
      <c r="F107" s="2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</row>
    <row r="108" spans="2:30" ht="15" customHeight="1" x14ac:dyDescent="0.25">
      <c r="B108" s="103"/>
      <c r="C108" s="28"/>
      <c r="D108" s="28"/>
      <c r="E108" s="28"/>
      <c r="F108" s="2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</row>
    <row r="109" spans="2:30" ht="15" customHeight="1" x14ac:dyDescent="0.25">
      <c r="B109" s="28"/>
      <c r="C109" s="28"/>
      <c r="D109" s="28"/>
      <c r="E109" s="28"/>
      <c r="F109" s="28"/>
      <c r="G109" s="2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</row>
    <row r="110" spans="2:30" ht="15" customHeight="1" x14ac:dyDescent="0.25">
      <c r="B110" s="8"/>
      <c r="C110" s="8"/>
      <c r="D110" s="8"/>
      <c r="E110" s="28"/>
      <c r="F110" s="28"/>
      <c r="G110" s="2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</row>
    <row r="111" spans="2:30" ht="15" customHeight="1" x14ac:dyDescent="0.25">
      <c r="B111" s="8"/>
      <c r="C111" s="8"/>
      <c r="D111" s="8"/>
      <c r="E111" s="28"/>
      <c r="F111" s="28"/>
      <c r="G111" s="2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</row>
    <row r="112" spans="2:30" ht="15" customHeight="1" x14ac:dyDescent="0.25">
      <c r="B112" s="8"/>
      <c r="C112" s="8"/>
      <c r="D112" s="8"/>
      <c r="E112" s="28"/>
      <c r="F112" s="28"/>
      <c r="G112" s="2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</row>
    <row r="113" spans="1:30" ht="15" customHeight="1" x14ac:dyDescent="0.25">
      <c r="A113" s="28"/>
      <c r="B113" s="8"/>
      <c r="C113" s="8"/>
      <c r="D113" s="8"/>
      <c r="E113" s="28"/>
      <c r="F113" s="28"/>
      <c r="G113" s="2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</row>
    <row r="114" spans="1:30" ht="15" customHeight="1" x14ac:dyDescent="0.25">
      <c r="A114" s="28"/>
      <c r="B114" s="8"/>
      <c r="C114" s="8"/>
      <c r="D114" s="8"/>
      <c r="E114" s="28"/>
      <c r="F114" s="28"/>
      <c r="G114" s="2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</row>
    <row r="115" spans="1:30" ht="15" customHeight="1" x14ac:dyDescent="0.25">
      <c r="A115" s="28"/>
      <c r="B115" s="8"/>
      <c r="C115" s="8"/>
      <c r="D115" s="8"/>
      <c r="E115" s="28"/>
      <c r="F115" s="28"/>
      <c r="G115" s="2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</row>
    <row r="116" spans="1:30" ht="15" customHeight="1" x14ac:dyDescent="0.25">
      <c r="A116" s="28"/>
      <c r="B116" s="8"/>
      <c r="C116" s="8"/>
      <c r="D116" s="8"/>
      <c r="E116" s="28"/>
      <c r="F116" s="28"/>
      <c r="G116" s="2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</row>
    <row r="117" spans="1:30" ht="15" customHeight="1" x14ac:dyDescent="0.25">
      <c r="A117" s="28"/>
      <c r="B117" s="8"/>
      <c r="C117" s="8"/>
      <c r="D117" s="8"/>
      <c r="E117" s="28"/>
      <c r="F117" s="28"/>
      <c r="G117" s="2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</row>
    <row r="118" spans="1:30" ht="15" customHeight="1" x14ac:dyDescent="0.25">
      <c r="A118" s="28"/>
      <c r="B118" s="8"/>
      <c r="C118" s="8"/>
      <c r="D118" s="8"/>
      <c r="E118" s="28"/>
      <c r="F118" s="28"/>
      <c r="G118" s="2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</row>
    <row r="119" spans="1:30" ht="15" customHeight="1" x14ac:dyDescent="0.25">
      <c r="A119" s="28"/>
      <c r="B119" s="8"/>
      <c r="C119" s="8"/>
      <c r="D119" s="8"/>
      <c r="E119" s="28"/>
      <c r="F119" s="28"/>
      <c r="G119" s="2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</row>
    <row r="120" spans="1:30" ht="15" customHeight="1" x14ac:dyDescent="0.25">
      <c r="A120" s="2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28"/>
      <c r="S120" s="28"/>
      <c r="T120" s="28"/>
      <c r="U120" s="8"/>
      <c r="V120" s="8"/>
      <c r="W120" s="8"/>
      <c r="X120" s="8"/>
      <c r="Y120" s="8"/>
      <c r="Z120" s="8"/>
      <c r="AA120" s="8"/>
      <c r="AB120" s="8"/>
      <c r="AC120" s="8"/>
      <c r="AD120" s="8"/>
    </row>
    <row r="121" spans="1:30" ht="15" customHeight="1" x14ac:dyDescent="0.25">
      <c r="A121" s="2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210">
        <v>0</v>
      </c>
      <c r="P121" s="28">
        <v>0</v>
      </c>
      <c r="Q121" s="28">
        <v>0</v>
      </c>
      <c r="R121" s="211">
        <v>0</v>
      </c>
      <c r="S121" s="28"/>
      <c r="T121" s="28"/>
      <c r="U121" s="28"/>
      <c r="V121" s="8"/>
      <c r="W121" s="8"/>
      <c r="X121" s="8"/>
      <c r="Y121" s="8"/>
      <c r="Z121" s="8"/>
      <c r="AA121" s="8"/>
      <c r="AB121" s="8"/>
      <c r="AC121" s="8"/>
      <c r="AD121" s="8"/>
    </row>
    <row r="122" spans="1:30" ht="15" customHeight="1" x14ac:dyDescent="0.25">
      <c r="A122" s="2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2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</row>
    <row r="123" spans="1:30" ht="15" customHeight="1" x14ac:dyDescent="0.25">
      <c r="A123" s="2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2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</row>
    <row r="124" spans="1:30" ht="1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2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</row>
    <row r="125" spans="1:30" ht="1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</row>
    <row r="126" spans="1:30" ht="1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</row>
    <row r="127" spans="1:30" ht="1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</row>
    <row r="128" spans="1:30" ht="1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</row>
    <row r="129" spans="2:30" ht="1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</row>
    <row r="130" spans="2:30" ht="1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</row>
    <row r="131" spans="2:30" ht="1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</row>
    <row r="132" spans="2:30" ht="1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</row>
    <row r="133" spans="2:30" ht="1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</row>
    <row r="134" spans="2:30" ht="1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</row>
    <row r="135" spans="2:30" ht="1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</row>
    <row r="136" spans="2:30" ht="1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</row>
    <row r="137" spans="2:30" ht="1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</row>
    <row r="138" spans="2:30" ht="1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</row>
    <row r="139" spans="2:30" ht="1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</row>
    <row r="140" spans="2:30" ht="1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</row>
    <row r="141" spans="2:30" ht="1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</row>
    <row r="142" spans="2:30" ht="1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</row>
    <row r="143" spans="2:30" ht="1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</row>
    <row r="144" spans="2:30" ht="1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</row>
    <row r="145" spans="2:30" ht="1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</row>
    <row r="146" spans="2:30" ht="1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</row>
    <row r="147" spans="2:30" ht="1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</row>
    <row r="148" spans="2:30" ht="1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</row>
    <row r="149" spans="2:30" ht="1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</row>
    <row r="150" spans="2:30" ht="1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</row>
    <row r="151" spans="2:30" ht="1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</row>
    <row r="152" spans="2:30" ht="1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</row>
    <row r="153" spans="2:30" ht="1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</row>
    <row r="154" spans="2:30" ht="1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</row>
    <row r="155" spans="2:30" ht="1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</row>
    <row r="156" spans="2:30" ht="1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</row>
    <row r="157" spans="2:30" ht="1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</row>
    <row r="158" spans="2:30" ht="1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</row>
    <row r="159" spans="2:30" ht="1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</row>
    <row r="160" spans="2:30" ht="1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</row>
    <row r="161" spans="2:30" ht="1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</row>
    <row r="162" spans="2:30" ht="1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</row>
    <row r="163" spans="2:30" ht="1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</row>
    <row r="164" spans="2:30" ht="1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</row>
    <row r="165" spans="2:30" ht="1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</row>
    <row r="166" spans="2:30" ht="1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</row>
    <row r="167" spans="2:30" ht="1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</row>
    <row r="168" spans="2:30" ht="1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</row>
    <row r="169" spans="2:30" ht="1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</row>
    <row r="170" spans="2:30" ht="1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</row>
    <row r="171" spans="2:30" ht="1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</row>
    <row r="172" spans="2:30" ht="1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</row>
    <row r="173" spans="2:30" ht="1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</row>
    <row r="174" spans="2:30" ht="1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</row>
    <row r="175" spans="2:30" ht="1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</row>
    <row r="176" spans="2:30" ht="1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</row>
    <row r="177" spans="2:30" ht="1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</row>
    <row r="178" spans="2:30" ht="1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</row>
    <row r="179" spans="2:30" ht="1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</row>
    <row r="180" spans="2:30" ht="1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</row>
    <row r="181" spans="2:30" ht="1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</row>
    <row r="182" spans="2:30" ht="1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</row>
    <row r="183" spans="2:30" ht="1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</row>
    <row r="184" spans="2:30" ht="1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</row>
    <row r="185" spans="2:30" ht="1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</row>
    <row r="186" spans="2:30" ht="1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</row>
    <row r="187" spans="2:30" ht="1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</row>
    <row r="188" spans="2:30" ht="1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</row>
    <row r="189" spans="2:30" ht="1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</row>
    <row r="190" spans="2:30" ht="1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</row>
    <row r="191" spans="2:30" ht="1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</row>
    <row r="192" spans="2:30" ht="1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</row>
    <row r="193" spans="2:30" ht="1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</row>
    <row r="194" spans="2:30" ht="1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</row>
    <row r="195" spans="2:30" ht="1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</row>
    <row r="196" spans="2:30" ht="1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</row>
    <row r="197" spans="2:30" ht="1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</row>
    <row r="198" spans="2:30" ht="1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</row>
    <row r="199" spans="2:30" ht="1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</row>
    <row r="200" spans="2:30" ht="1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</row>
    <row r="201" spans="2:30" ht="1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</row>
    <row r="202" spans="2:30" ht="1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</row>
    <row r="203" spans="2:30" ht="1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</row>
    <row r="204" spans="2:30" ht="1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</row>
    <row r="205" spans="2:30" ht="1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</row>
    <row r="206" spans="2:30" ht="1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</row>
    <row r="207" spans="2:30" ht="1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</row>
    <row r="208" spans="2:30" ht="1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</row>
    <row r="209" spans="2:30" ht="1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</row>
    <row r="210" spans="2:30" ht="1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</row>
    <row r="211" spans="2:30" ht="1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</row>
    <row r="212" spans="2:30" ht="1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</row>
    <row r="213" spans="2:30" ht="1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</row>
    <row r="214" spans="2:30" ht="1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</row>
    <row r="215" spans="2:30" ht="1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</row>
    <row r="216" spans="2:30" ht="1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</row>
    <row r="217" spans="2:30" ht="1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</row>
    <row r="218" spans="2:30" ht="1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</row>
    <row r="219" spans="2:30" ht="1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</row>
    <row r="220" spans="2:30" ht="1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</row>
    <row r="221" spans="2:30" ht="1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</row>
    <row r="222" spans="2:30" ht="1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</row>
    <row r="223" spans="2:30" ht="1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</row>
    <row r="224" spans="2:30" ht="1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</row>
    <row r="225" spans="2:30" ht="1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</row>
    <row r="226" spans="2:30" ht="1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</row>
    <row r="227" spans="2:30" ht="1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</row>
    <row r="228" spans="2:30" ht="1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</row>
    <row r="229" spans="2:30" ht="1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</row>
    <row r="230" spans="2:30" ht="1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</row>
    <row r="231" spans="2:30" ht="1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</row>
    <row r="232" spans="2:30" ht="1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</row>
    <row r="233" spans="2:30" ht="1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</row>
    <row r="234" spans="2:30" ht="1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</row>
    <row r="235" spans="2:30" ht="1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</row>
    <row r="236" spans="2:30" ht="1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</row>
    <row r="237" spans="2:30" ht="1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</row>
    <row r="238" spans="2:30" ht="1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</row>
    <row r="239" spans="2:30" ht="1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</row>
    <row r="240" spans="2:30" ht="1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</row>
    <row r="241" spans="2:30" ht="1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</row>
    <row r="242" spans="2:30" ht="1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</row>
    <row r="243" spans="2:30" ht="1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</row>
    <row r="244" spans="2:30" ht="1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</row>
    <row r="245" spans="2:30" ht="1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</row>
    <row r="246" spans="2:30" ht="1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</row>
    <row r="247" spans="2:30" ht="1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</row>
    <row r="248" spans="2:30" ht="1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</row>
    <row r="249" spans="2:30" ht="1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</row>
    <row r="250" spans="2:30" ht="1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</row>
    <row r="251" spans="2:30" ht="1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</row>
    <row r="252" spans="2:30" ht="1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</row>
    <row r="253" spans="2:30" ht="1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</row>
    <row r="254" spans="2:30" ht="1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</row>
    <row r="255" spans="2:30" ht="1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</row>
    <row r="256" spans="2:30" ht="1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</row>
    <row r="257" spans="2:30" ht="1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</row>
    <row r="258" spans="2:30" ht="1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</row>
    <row r="259" spans="2:30" ht="1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</row>
    <row r="260" spans="2:30" ht="1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</row>
    <row r="261" spans="2:30" ht="1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</row>
    <row r="262" spans="2:30" ht="1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</row>
    <row r="263" spans="2:30" ht="1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</row>
    <row r="264" spans="2:30" ht="1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</row>
    <row r="265" spans="2:30" ht="1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</row>
    <row r="266" spans="2:30" ht="1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</row>
    <row r="267" spans="2:30" ht="1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</row>
    <row r="268" spans="2:30" ht="1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</row>
    <row r="269" spans="2:30" ht="1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</row>
    <row r="270" spans="2:30" ht="1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</row>
    <row r="271" spans="2:30" ht="1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</row>
    <row r="272" spans="2:30" ht="1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</row>
    <row r="273" spans="2:30" ht="1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</row>
    <row r="274" spans="2:30" ht="1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</row>
    <row r="275" spans="2:30" ht="1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</row>
    <row r="276" spans="2:30" ht="1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</row>
    <row r="277" spans="2:30" ht="1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</row>
    <row r="278" spans="2:30" ht="1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</row>
    <row r="279" spans="2:30" ht="1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</row>
    <row r="280" spans="2:30" ht="1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</row>
    <row r="281" spans="2:30" ht="1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</row>
    <row r="282" spans="2:30" ht="1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</row>
    <row r="283" spans="2:30" ht="1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</row>
    <row r="284" spans="2:30" ht="1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</row>
    <row r="285" spans="2:30" ht="1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</row>
    <row r="286" spans="2:30" ht="1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</row>
    <row r="287" spans="2:30" ht="1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</row>
    <row r="288" spans="2:30" ht="1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</row>
    <row r="289" spans="2:30" ht="1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</row>
    <row r="290" spans="2:30" ht="1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</row>
    <row r="291" spans="2:30" ht="1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</row>
    <row r="292" spans="2:30" ht="1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</row>
    <row r="293" spans="2:30" ht="1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</row>
    <row r="294" spans="2:30" ht="1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</row>
    <row r="295" spans="2:30" ht="1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</row>
    <row r="296" spans="2:30" ht="1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</row>
    <row r="297" spans="2:30" ht="1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</row>
    <row r="298" spans="2:30" ht="1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</row>
    <row r="299" spans="2:30" ht="1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</row>
    <row r="300" spans="2:30" ht="1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</row>
    <row r="301" spans="2:30" ht="1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</row>
    <row r="302" spans="2:30" ht="1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</row>
    <row r="303" spans="2:30" ht="1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</row>
    <row r="304" spans="2:30" ht="1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</row>
    <row r="305" spans="2:30" ht="1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</row>
    <row r="306" spans="2:30" ht="1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</row>
    <row r="307" spans="2:30" ht="1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</row>
    <row r="308" spans="2:30" ht="1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</row>
    <row r="309" spans="2:30" ht="1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</row>
    <row r="310" spans="2:30" ht="1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</row>
    <row r="311" spans="2:30" ht="1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</row>
    <row r="312" spans="2:30" ht="1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</row>
    <row r="313" spans="2:30" ht="1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</row>
    <row r="314" spans="2:30" ht="1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</row>
    <row r="315" spans="2:30" ht="1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</row>
    <row r="316" spans="2:30" ht="1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</row>
    <row r="317" spans="2:30" ht="1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</row>
    <row r="318" spans="2:30" ht="1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</row>
    <row r="319" spans="2:30" ht="1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</row>
    <row r="320" spans="2:30" ht="1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</row>
    <row r="321" spans="2:30" ht="1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</row>
    <row r="322" spans="2:30" ht="1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</row>
    <row r="323" spans="2:30" ht="1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</row>
    <row r="324" spans="2:30" ht="1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</row>
    <row r="325" spans="2:30" ht="1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</row>
    <row r="326" spans="2:30" ht="1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</row>
    <row r="327" spans="2:30" ht="1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</row>
    <row r="328" spans="2:30" ht="1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</row>
    <row r="329" spans="2:30" ht="1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</row>
    <row r="330" spans="2:30" ht="1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</row>
    <row r="331" spans="2:30" ht="1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</row>
    <row r="332" spans="2:30" ht="1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</row>
    <row r="333" spans="2:30" ht="1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</row>
    <row r="334" spans="2:30" ht="1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</row>
    <row r="335" spans="2:30" ht="1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</row>
    <row r="336" spans="2:30" ht="1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</row>
    <row r="337" spans="2:30" ht="1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</row>
    <row r="338" spans="2:30" ht="1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</row>
    <row r="339" spans="2:30" ht="1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</row>
    <row r="340" spans="2:30" ht="1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</row>
    <row r="341" spans="2:30" ht="1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</row>
    <row r="342" spans="2:30" ht="1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</row>
    <row r="343" spans="2:30" ht="1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</row>
    <row r="344" spans="2:30" ht="1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</row>
    <row r="345" spans="2:30" ht="1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</row>
    <row r="346" spans="2:30" ht="1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</row>
    <row r="347" spans="2:30" ht="1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</row>
    <row r="348" spans="2:30" ht="1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</row>
    <row r="349" spans="2:30" ht="1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</row>
    <row r="350" spans="2:30" ht="1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</row>
    <row r="351" spans="2:30" ht="1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</row>
    <row r="352" spans="2:30" ht="1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</row>
    <row r="353" spans="2:30" ht="1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</row>
    <row r="354" spans="2:30" ht="1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</row>
    <row r="355" spans="2:30" ht="1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</row>
    <row r="356" spans="2:30" ht="1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</row>
    <row r="357" spans="2:30" ht="1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</row>
    <row r="358" spans="2:30" ht="1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</row>
    <row r="359" spans="2:30" ht="1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</row>
    <row r="360" spans="2:30" ht="1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</row>
    <row r="361" spans="2:30" ht="1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</row>
    <row r="362" spans="2:30" ht="1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</row>
    <row r="363" spans="2:30" ht="1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</row>
    <row r="364" spans="2:30" ht="1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</row>
    <row r="365" spans="2:30" ht="1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</row>
    <row r="366" spans="2:30" ht="1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</row>
    <row r="367" spans="2:30" ht="1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</row>
    <row r="368" spans="2:30" ht="1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</row>
    <row r="369" spans="2:30" ht="1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</row>
    <row r="370" spans="2:30" ht="1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</row>
    <row r="371" spans="2:30" ht="1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</row>
    <row r="372" spans="2:30" ht="1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</row>
    <row r="373" spans="2:30" ht="1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</row>
    <row r="374" spans="2:30" ht="1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</row>
    <row r="375" spans="2:30" ht="1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</row>
    <row r="376" spans="2:30" ht="1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</row>
    <row r="377" spans="2:30" ht="1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</row>
    <row r="378" spans="2:30" ht="1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</row>
    <row r="379" spans="2:30" ht="1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</row>
    <row r="380" spans="2:30" ht="1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</row>
    <row r="381" spans="2:30" ht="1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</row>
    <row r="382" spans="2:30" ht="1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</row>
    <row r="383" spans="2:30" ht="1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</row>
    <row r="384" spans="2:30" ht="1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</row>
    <row r="385" spans="2:30" ht="1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</row>
    <row r="386" spans="2:30" ht="1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</row>
    <row r="387" spans="2:30" ht="1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</row>
    <row r="388" spans="2:30" ht="1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</row>
    <row r="389" spans="2:30" ht="1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</row>
    <row r="390" spans="2:30" ht="1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</row>
    <row r="391" spans="2:30" ht="1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</row>
    <row r="392" spans="2:30" ht="1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</row>
    <row r="393" spans="2:30" ht="1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</row>
    <row r="394" spans="2:30" ht="1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</row>
    <row r="395" spans="2:30" ht="1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</row>
    <row r="396" spans="2:30" ht="1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</row>
    <row r="397" spans="2:30" ht="1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</row>
    <row r="398" spans="2:30" ht="1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</row>
    <row r="399" spans="2:30" ht="1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</row>
    <row r="400" spans="2:30" ht="1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</row>
    <row r="401" spans="2:30" ht="1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</row>
    <row r="402" spans="2:30" ht="1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</row>
    <row r="403" spans="2:30" ht="1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</row>
    <row r="404" spans="2:30" ht="1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</row>
    <row r="405" spans="2:30" ht="1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</row>
    <row r="406" spans="2:30" ht="1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</row>
    <row r="407" spans="2:30" ht="1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</row>
    <row r="408" spans="2:30" ht="1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</row>
    <row r="409" spans="2:30" ht="1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</row>
    <row r="410" spans="2:30" ht="1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</row>
    <row r="411" spans="2:30" ht="1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</row>
    <row r="412" spans="2:30" ht="1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</row>
    <row r="413" spans="2:30" ht="1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</row>
    <row r="414" spans="2:30" ht="1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</row>
    <row r="415" spans="2:30" ht="1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</row>
    <row r="416" spans="2:30" ht="1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</row>
    <row r="417" spans="2:30" ht="1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</row>
    <row r="418" spans="2:30" ht="1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</row>
    <row r="419" spans="2:30" ht="1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</row>
    <row r="420" spans="2:30" ht="1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</row>
    <row r="421" spans="2:30" ht="1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</row>
    <row r="422" spans="2:30" ht="1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</row>
    <row r="423" spans="2:30" ht="1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</row>
    <row r="424" spans="2:30" ht="1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</row>
    <row r="425" spans="2:30" ht="1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</row>
    <row r="426" spans="2:30" ht="1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</row>
    <row r="427" spans="2:30" ht="1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</row>
    <row r="428" spans="2:30" ht="1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</row>
    <row r="429" spans="2:30" ht="1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</row>
    <row r="430" spans="2:30" ht="1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</row>
    <row r="431" spans="2:30" ht="1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</row>
    <row r="432" spans="2:30" ht="1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</row>
    <row r="433" spans="2:30" ht="1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</row>
    <row r="434" spans="2:30" ht="1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</row>
    <row r="435" spans="2:30" ht="1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</row>
    <row r="436" spans="2:30" ht="1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</row>
    <row r="437" spans="2:30" ht="1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</row>
    <row r="438" spans="2:30" ht="1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</row>
    <row r="439" spans="2:30" ht="1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</row>
    <row r="440" spans="2:30" ht="1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</row>
    <row r="441" spans="2:30" ht="1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</row>
    <row r="442" spans="2:30" ht="1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</row>
    <row r="443" spans="2:30" ht="1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</row>
    <row r="444" spans="2:30" ht="1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</row>
    <row r="445" spans="2:30" ht="1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</row>
    <row r="446" spans="2:30" ht="1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</row>
    <row r="447" spans="2:30" ht="1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</row>
    <row r="448" spans="2:30" ht="1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</row>
    <row r="449" spans="2:30" ht="1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</row>
    <row r="450" spans="2:30" ht="1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</row>
    <row r="451" spans="2:30" ht="1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</row>
    <row r="452" spans="2:30" ht="1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</row>
    <row r="453" spans="2:30" ht="1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</row>
    <row r="454" spans="2:30" ht="1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</row>
    <row r="455" spans="2:30" ht="1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</row>
    <row r="456" spans="2:30" ht="1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</row>
    <row r="457" spans="2:30" ht="1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</row>
    <row r="458" spans="2:30" ht="1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</row>
    <row r="459" spans="2:30" ht="1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</row>
    <row r="460" spans="2:30" ht="1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</row>
    <row r="461" spans="2:30" ht="1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</row>
    <row r="462" spans="2:30" ht="1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</row>
    <row r="463" spans="2:30" ht="1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</row>
    <row r="464" spans="2:30" ht="1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</row>
    <row r="465" spans="2:30" ht="1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</row>
    <row r="466" spans="2:30" ht="1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</row>
    <row r="467" spans="2:30" ht="1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</row>
    <row r="468" spans="2:30" ht="1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</row>
    <row r="469" spans="2:30" ht="15" customHeight="1" x14ac:dyDescent="0.25"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</row>
    <row r="470" spans="2:30" ht="15" customHeight="1" x14ac:dyDescent="0.25">
      <c r="O470" s="8"/>
      <c r="P470" s="8"/>
      <c r="Q470" s="8"/>
    </row>
    <row r="471" spans="2:30" ht="15" customHeight="1" x14ac:dyDescent="0.25">
      <c r="O471" s="8"/>
      <c r="P471" s="8"/>
      <c r="Q471" s="8"/>
    </row>
    <row r="472" spans="2:30" ht="15" customHeight="1" x14ac:dyDescent="0.25">
      <c r="O472" s="8"/>
      <c r="P472" s="8"/>
      <c r="Q472" s="8"/>
    </row>
    <row r="473" spans="2:30" ht="15" customHeight="1" x14ac:dyDescent="0.25">
      <c r="O473" s="8"/>
      <c r="P473" s="8"/>
      <c r="Q473" s="8"/>
    </row>
    <row r="474" spans="2:30" ht="15" customHeight="1" x14ac:dyDescent="0.25">
      <c r="O474" s="8"/>
      <c r="P474" s="8"/>
      <c r="Q474" s="8"/>
    </row>
    <row r="475" spans="2:30" ht="15" customHeight="1" x14ac:dyDescent="0.25">
      <c r="O475" s="8"/>
      <c r="P475" s="8"/>
      <c r="Q475" s="8"/>
    </row>
    <row r="476" spans="2:30" ht="15" customHeight="1" x14ac:dyDescent="0.25">
      <c r="O476" s="8"/>
      <c r="P476" s="8"/>
      <c r="Q476" s="8"/>
    </row>
  </sheetData>
  <autoFilter ref="C64:E76" xr:uid="{00000000-0009-0000-0000-000003000000}"/>
  <dataConsolidate function="min" link="1"/>
  <mergeCells count="10">
    <mergeCell ref="H90:I90"/>
    <mergeCell ref="L88:M88"/>
    <mergeCell ref="F19:G19"/>
    <mergeCell ref="F17:G17"/>
    <mergeCell ref="B16:C16"/>
    <mergeCell ref="B18:C18"/>
    <mergeCell ref="D16:E16"/>
    <mergeCell ref="F16:G16"/>
    <mergeCell ref="D18:E18"/>
    <mergeCell ref="F18:G18"/>
  </mergeCells>
  <conditionalFormatting sqref="E2:E15">
    <cfRule type="containsText" dxfId="36" priority="18" operator="containsText" text="SELL">
      <formula>NOT(ISERROR(SEARCH("SELL",E2)))</formula>
    </cfRule>
    <cfRule type="containsText" dxfId="35" priority="19" operator="containsText" text="BUY">
      <formula>NOT(ISERROR(SEARCH("BUY",E2)))</formula>
    </cfRule>
  </conditionalFormatting>
  <conditionalFormatting sqref="C65:D65">
    <cfRule type="expression" dxfId="34" priority="14">
      <formula>$D$65=0</formula>
    </cfRule>
  </conditionalFormatting>
  <conditionalFormatting sqref="C66:D66">
    <cfRule type="expression" dxfId="33" priority="13">
      <formula>$D$66=0</formula>
    </cfRule>
  </conditionalFormatting>
  <conditionalFormatting sqref="C67:D67">
    <cfRule type="expression" dxfId="32" priority="12">
      <formula>$D$67=0</formula>
    </cfRule>
  </conditionalFormatting>
  <conditionalFormatting sqref="C68:D68">
    <cfRule type="expression" dxfId="31" priority="11">
      <formula>$D$68=0+$C$68:$D$68</formula>
    </cfRule>
  </conditionalFormatting>
  <conditionalFormatting sqref="C69:D69">
    <cfRule type="expression" dxfId="30" priority="10">
      <formula>$D$69=0</formula>
    </cfRule>
  </conditionalFormatting>
  <conditionalFormatting sqref="C70:D70">
    <cfRule type="expression" dxfId="29" priority="9">
      <formula>$D$70=0</formula>
    </cfRule>
  </conditionalFormatting>
  <conditionalFormatting sqref="C71:D71">
    <cfRule type="expression" dxfId="28" priority="8">
      <formula>$D$71=0</formula>
    </cfRule>
  </conditionalFormatting>
  <conditionalFormatting sqref="C72:D72">
    <cfRule type="expression" dxfId="27" priority="7">
      <formula>$D$72=0</formula>
    </cfRule>
  </conditionalFormatting>
  <conditionalFormatting sqref="C73:D73">
    <cfRule type="expression" dxfId="26" priority="6">
      <formula>$D$73=0</formula>
    </cfRule>
  </conditionalFormatting>
  <conditionalFormatting sqref="C74:D74">
    <cfRule type="expression" dxfId="25" priority="5">
      <formula>$D$74=0</formula>
    </cfRule>
  </conditionalFormatting>
  <conditionalFormatting sqref="C75:D75">
    <cfRule type="expression" dxfId="24" priority="4">
      <formula>$D$75=0</formula>
    </cfRule>
  </conditionalFormatting>
  <conditionalFormatting sqref="C76:D76">
    <cfRule type="expression" dxfId="23" priority="3">
      <formula>$D$76=0</formula>
    </cfRule>
  </conditionalFormatting>
  <dataValidations count="1">
    <dataValidation operator="notEqual" allowBlank="1" showInputMessage="1" showErrorMessage="1" sqref="N2:O13" xr:uid="{00000000-0002-0000-0300-000000000000}"/>
  </dataValidations>
  <pageMargins left="0.7" right="0.7" top="0.75" bottom="0.75" header="0.3" footer="0.3"/>
  <ignoredErrors>
    <ignoredError sqref="C4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C303"/>
  <sheetViews>
    <sheetView workbookViewId="0">
      <selection activeCell="N27" sqref="N27"/>
    </sheetView>
  </sheetViews>
  <sheetFormatPr defaultRowHeight="15" customHeight="1" x14ac:dyDescent="0.25"/>
  <cols>
    <col min="1" max="1" width="1.5703125" customWidth="1"/>
    <col min="2" max="2" width="0.42578125" customWidth="1"/>
    <col min="3" max="3" width="6.28515625" customWidth="1"/>
    <col min="4" max="4" width="9.5703125" customWidth="1"/>
    <col min="5" max="5" width="11.28515625" customWidth="1"/>
    <col min="6" max="6" width="9" customWidth="1"/>
    <col min="7" max="7" width="10.28515625" customWidth="1"/>
    <col min="8" max="8" width="14.42578125" customWidth="1"/>
    <col min="9" max="9" width="10.7109375" customWidth="1"/>
    <col min="10" max="10" width="9.42578125" customWidth="1"/>
    <col min="11" max="11" width="8.42578125" customWidth="1"/>
    <col min="13" max="13" width="12.28515625" customWidth="1"/>
    <col min="14" max="14" width="14.42578125" customWidth="1"/>
    <col min="15" max="15" width="12" customWidth="1"/>
    <col min="16" max="16" width="11.28515625" customWidth="1"/>
    <col min="17" max="17" width="10.140625" customWidth="1"/>
    <col min="18" max="18" width="12.140625" customWidth="1"/>
    <col min="20" max="20" width="4.140625" customWidth="1"/>
    <col min="21" max="21" width="4" customWidth="1"/>
    <col min="22" max="22" width="3.85546875" customWidth="1"/>
    <col min="23" max="23" width="3.42578125" customWidth="1"/>
    <col min="24" max="24" width="3.85546875" customWidth="1"/>
    <col min="25" max="25" width="4.140625" customWidth="1"/>
    <col min="26" max="26" width="9.42578125" customWidth="1"/>
    <col min="27" max="27" width="0.7109375" customWidth="1"/>
    <col min="28" max="314" width="9.140625" style="7"/>
  </cols>
  <sheetData>
    <row r="1" spans="1:315" ht="15.75" thickBot="1" x14ac:dyDescent="0.3">
      <c r="A1" s="97"/>
      <c r="B1" s="9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97"/>
      <c r="Q1" s="97"/>
      <c r="R1" s="97"/>
      <c r="S1" s="97"/>
      <c r="T1" s="2"/>
      <c r="U1" s="2"/>
      <c r="V1" s="2"/>
      <c r="W1" s="2"/>
      <c r="X1" s="2"/>
      <c r="Y1" s="2"/>
      <c r="Z1" s="2"/>
      <c r="AA1" s="2"/>
    </row>
    <row r="2" spans="1:315" ht="15.75" thickBot="1" x14ac:dyDescent="0.3">
      <c r="A2" s="97"/>
      <c r="B2" s="150"/>
      <c r="C2" s="196"/>
      <c r="D2" s="188"/>
      <c r="E2" s="188"/>
      <c r="F2" s="188"/>
      <c r="G2" s="188"/>
      <c r="H2" s="188"/>
      <c r="I2" s="188"/>
      <c r="J2" s="189"/>
      <c r="K2" s="2"/>
      <c r="L2" s="196" t="s">
        <v>35</v>
      </c>
      <c r="M2" s="188"/>
      <c r="N2" s="189"/>
      <c r="O2" s="97"/>
      <c r="P2" s="97"/>
      <c r="Q2" s="97"/>
      <c r="R2" s="97"/>
      <c r="S2" s="2"/>
      <c r="T2" s="2"/>
      <c r="U2" s="2"/>
      <c r="V2" s="2"/>
      <c r="W2" s="2"/>
      <c r="X2" s="2"/>
      <c r="Y2" s="2"/>
      <c r="Z2" s="7"/>
      <c r="AA2" s="7"/>
      <c r="LA2"/>
      <c r="LB2"/>
    </row>
    <row r="3" spans="1:315" ht="15.75" thickBot="1" x14ac:dyDescent="0.3">
      <c r="A3" s="97"/>
      <c r="B3" s="97"/>
      <c r="C3" s="190"/>
      <c r="D3" s="150" t="s">
        <v>14</v>
      </c>
      <c r="E3" s="206" t="s">
        <v>41</v>
      </c>
      <c r="F3" s="158"/>
      <c r="G3" s="97"/>
      <c r="H3" s="97"/>
      <c r="I3" s="97"/>
      <c r="J3" s="191"/>
      <c r="K3" s="2"/>
      <c r="L3" s="202" t="s">
        <v>2</v>
      </c>
      <c r="M3" s="307" t="s">
        <v>36</v>
      </c>
      <c r="N3" s="308"/>
      <c r="O3" s="97"/>
      <c r="P3" s="150"/>
      <c r="Q3" s="97"/>
      <c r="R3" s="97"/>
      <c r="S3" s="2"/>
      <c r="T3" s="2"/>
      <c r="U3" s="2"/>
      <c r="V3" s="2"/>
      <c r="W3" s="2"/>
      <c r="X3" s="2"/>
      <c r="Y3" s="2"/>
      <c r="Z3" s="7"/>
      <c r="AA3" s="7"/>
      <c r="LA3"/>
      <c r="LB3"/>
    </row>
    <row r="4" spans="1:315" x14ac:dyDescent="0.25">
      <c r="A4" s="97"/>
      <c r="B4" s="97"/>
      <c r="C4" s="190"/>
      <c r="D4" s="97"/>
      <c r="E4" s="97"/>
      <c r="F4" s="97"/>
      <c r="G4" s="97"/>
      <c r="H4" s="97"/>
      <c r="I4" s="97"/>
      <c r="J4" s="191"/>
      <c r="K4" s="2"/>
      <c r="L4" s="197" t="s">
        <v>26</v>
      </c>
      <c r="M4" s="166" t="s">
        <v>26</v>
      </c>
      <c r="N4" s="198" t="s">
        <v>26</v>
      </c>
      <c r="O4" s="2"/>
      <c r="P4" s="207" t="s">
        <v>26</v>
      </c>
      <c r="Q4" s="2"/>
      <c r="R4" s="2"/>
      <c r="S4" s="2"/>
      <c r="T4" s="2"/>
      <c r="U4" s="2"/>
      <c r="V4" s="2"/>
      <c r="W4" s="2"/>
      <c r="X4" s="2"/>
      <c r="Y4" s="2"/>
      <c r="Z4" s="7"/>
      <c r="AA4" s="7"/>
      <c r="LA4"/>
      <c r="LB4"/>
    </row>
    <row r="5" spans="1:315" ht="15.75" thickBot="1" x14ac:dyDescent="0.3">
      <c r="A5" s="97"/>
      <c r="B5" s="97"/>
      <c r="C5" s="190"/>
      <c r="D5" s="97"/>
      <c r="E5" s="97"/>
      <c r="F5" s="97"/>
      <c r="G5" s="97"/>
      <c r="H5" s="97"/>
      <c r="I5" s="97"/>
      <c r="J5" s="191"/>
      <c r="K5" s="97"/>
      <c r="L5" s="199" t="s">
        <v>26</v>
      </c>
      <c r="M5" s="82" t="s">
        <v>26</v>
      </c>
      <c r="N5" s="198" t="s">
        <v>26</v>
      </c>
      <c r="O5" s="2"/>
      <c r="P5" s="207" t="s">
        <v>26</v>
      </c>
      <c r="Q5" s="2"/>
      <c r="R5" s="2"/>
      <c r="S5" s="2"/>
      <c r="T5" s="2"/>
      <c r="U5" s="2"/>
      <c r="V5" s="2"/>
      <c r="W5" s="2"/>
      <c r="X5" s="2"/>
      <c r="Y5" s="2"/>
      <c r="Z5" s="7"/>
      <c r="AA5" s="7"/>
      <c r="LA5"/>
      <c r="LB5"/>
    </row>
    <row r="6" spans="1:315" ht="15.75" thickBot="1" x14ac:dyDescent="0.3">
      <c r="A6" s="97"/>
      <c r="B6" s="97"/>
      <c r="C6" s="190"/>
      <c r="D6" s="150" t="s">
        <v>15</v>
      </c>
      <c r="E6" s="161" t="s">
        <v>26</v>
      </c>
      <c r="F6" s="150"/>
      <c r="G6" s="97"/>
      <c r="H6" s="97"/>
      <c r="I6" s="97"/>
      <c r="J6" s="191"/>
      <c r="K6" s="6"/>
      <c r="L6" s="199"/>
      <c r="M6" s="82"/>
      <c r="N6" s="200"/>
      <c r="O6" s="2"/>
      <c r="P6" s="207"/>
      <c r="Q6" s="2"/>
      <c r="R6" s="2"/>
      <c r="S6" s="2"/>
      <c r="T6" s="2"/>
      <c r="U6" s="2"/>
      <c r="V6" s="2"/>
      <c r="W6" s="2"/>
      <c r="X6" s="2"/>
      <c r="Y6" s="2"/>
      <c r="Z6" s="7"/>
      <c r="AA6" s="7"/>
      <c r="LA6"/>
      <c r="LB6"/>
    </row>
    <row r="7" spans="1:315" ht="15.75" thickBot="1" x14ac:dyDescent="0.3">
      <c r="A7" s="97"/>
      <c r="B7" s="97"/>
      <c r="C7" s="190"/>
      <c r="D7" s="97"/>
      <c r="E7" s="97" t="s">
        <v>26</v>
      </c>
      <c r="F7" s="97"/>
      <c r="G7" s="97"/>
      <c r="H7" s="97"/>
      <c r="I7" s="97"/>
      <c r="J7" s="191"/>
      <c r="K7" s="6"/>
      <c r="L7" s="201"/>
      <c r="M7" s="194"/>
      <c r="N7" s="195"/>
      <c r="O7" s="2"/>
      <c r="P7" s="97"/>
      <c r="Q7" s="2"/>
      <c r="R7" s="2"/>
      <c r="S7" s="2"/>
      <c r="T7" s="2"/>
      <c r="U7" s="2"/>
      <c r="V7" s="2"/>
      <c r="W7" s="2"/>
      <c r="X7" s="2"/>
      <c r="Y7" s="2"/>
      <c r="Z7" s="7"/>
      <c r="AA7" s="7"/>
      <c r="LA7"/>
      <c r="LB7"/>
    </row>
    <row r="8" spans="1:315" ht="15.75" thickBot="1" x14ac:dyDescent="0.3">
      <c r="A8" s="97"/>
      <c r="B8" s="97"/>
      <c r="C8" s="190"/>
      <c r="D8" s="97" t="s">
        <v>81</v>
      </c>
      <c r="E8" s="162" t="s">
        <v>26</v>
      </c>
      <c r="F8" s="159"/>
      <c r="G8" s="165" t="s">
        <v>16</v>
      </c>
      <c r="H8" s="157" t="s">
        <v>26</v>
      </c>
      <c r="I8" s="150"/>
      <c r="J8" s="192"/>
      <c r="K8" s="97"/>
      <c r="L8" s="97"/>
      <c r="M8" s="97"/>
      <c r="N8" s="2"/>
      <c r="O8" s="2"/>
      <c r="P8" s="97"/>
      <c r="Q8" s="2"/>
      <c r="R8" s="2"/>
      <c r="S8" s="2"/>
      <c r="T8" s="97"/>
      <c r="U8" s="2"/>
      <c r="V8" s="2"/>
      <c r="W8" s="97"/>
      <c r="X8" s="2"/>
      <c r="Y8" s="2"/>
      <c r="Z8" s="7"/>
      <c r="AA8" s="7"/>
      <c r="LA8"/>
      <c r="LB8"/>
    </row>
    <row r="9" spans="1:315" ht="15.75" thickBot="1" x14ac:dyDescent="0.3">
      <c r="A9" s="97"/>
      <c r="B9" s="97"/>
      <c r="C9" s="190"/>
      <c r="D9" s="97"/>
      <c r="E9" s="97" t="s">
        <v>26</v>
      </c>
      <c r="F9" s="97"/>
      <c r="G9" s="153"/>
      <c r="H9" s="97" t="s">
        <v>26</v>
      </c>
      <c r="I9" s="97"/>
      <c r="J9" s="192"/>
      <c r="K9" s="97"/>
      <c r="L9" s="2"/>
      <c r="M9" s="2"/>
      <c r="N9" s="2"/>
      <c r="O9" s="2"/>
      <c r="P9" s="97"/>
      <c r="Q9" s="2"/>
      <c r="R9" s="2"/>
      <c r="S9" s="2"/>
      <c r="T9" s="2"/>
      <c r="U9" s="2"/>
      <c r="V9" s="2"/>
      <c r="W9" s="2"/>
      <c r="X9" s="2"/>
      <c r="Y9" s="2"/>
      <c r="Z9" s="7"/>
      <c r="AA9" s="7"/>
      <c r="LA9"/>
      <c r="LB9"/>
    </row>
    <row r="10" spans="1:315" ht="15.75" thickBot="1" x14ac:dyDescent="0.3">
      <c r="A10" s="97"/>
      <c r="B10" s="97"/>
      <c r="C10" s="190"/>
      <c r="D10" s="97" t="s">
        <v>38</v>
      </c>
      <c r="E10" s="163" t="s">
        <v>26</v>
      </c>
      <c r="F10" s="160"/>
      <c r="G10" s="165" t="s">
        <v>17</v>
      </c>
      <c r="H10" s="164" t="s">
        <v>26</v>
      </c>
      <c r="I10" s="154"/>
      <c r="J10" s="192"/>
      <c r="K10" s="97"/>
      <c r="L10" s="2" t="s">
        <v>26</v>
      </c>
      <c r="M10" s="2" t="s">
        <v>37</v>
      </c>
      <c r="N10" s="181">
        <f ca="1">TODAY()</f>
        <v>43732</v>
      </c>
      <c r="O10" s="156"/>
      <c r="P10" s="208" t="s">
        <v>26</v>
      </c>
      <c r="Q10" s="156"/>
      <c r="R10" s="2"/>
      <c r="S10" s="2"/>
      <c r="T10" s="2"/>
      <c r="U10" s="2"/>
      <c r="V10" s="2"/>
      <c r="W10" s="2"/>
      <c r="X10" s="2"/>
      <c r="Y10" s="2"/>
      <c r="Z10" s="2"/>
      <c r="AA10" s="7"/>
      <c r="LB10"/>
    </row>
    <row r="11" spans="1:315" ht="15.75" thickBot="1" x14ac:dyDescent="0.3">
      <c r="A11" s="97"/>
      <c r="B11" s="97"/>
      <c r="C11" s="193"/>
      <c r="D11" s="194"/>
      <c r="E11" s="194"/>
      <c r="F11" s="194"/>
      <c r="G11" s="194"/>
      <c r="H11" s="194"/>
      <c r="I11" s="194"/>
      <c r="J11" s="195"/>
      <c r="K11" s="3"/>
      <c r="L11" s="2"/>
      <c r="M11" s="2"/>
      <c r="N11" s="2"/>
      <c r="O11" s="2"/>
      <c r="P11" s="97"/>
      <c r="Q11" s="97"/>
      <c r="R11" s="2"/>
      <c r="S11" s="2"/>
      <c r="T11" s="2"/>
      <c r="U11" s="2"/>
      <c r="V11" s="2"/>
      <c r="W11" s="97"/>
      <c r="X11" s="2"/>
      <c r="Y11" s="2"/>
      <c r="Z11" s="2"/>
      <c r="AA11" s="7"/>
      <c r="LB11"/>
    </row>
    <row r="12" spans="1:315" ht="15.75" thickBot="1" x14ac:dyDescent="0.3">
      <c r="A12" s="97"/>
      <c r="B12" s="97"/>
      <c r="C12" s="97"/>
      <c r="D12" s="97"/>
      <c r="E12" s="97"/>
      <c r="F12" s="97"/>
      <c r="G12" s="97"/>
      <c r="H12" s="97"/>
      <c r="I12" s="97"/>
      <c r="J12" s="97"/>
      <c r="K12" s="2"/>
      <c r="L12" s="2"/>
      <c r="M12" s="2" t="s">
        <v>26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7"/>
      <c r="LB12"/>
    </row>
    <row r="13" spans="1:315" ht="15.75" thickBot="1" x14ac:dyDescent="0.3">
      <c r="A13" s="97"/>
      <c r="B13" s="97"/>
      <c r="C13" s="2"/>
      <c r="D13" s="150" t="s">
        <v>18</v>
      </c>
      <c r="E13" s="182">
        <f ca="1">WORKDAY(N10,2)</f>
        <v>43734</v>
      </c>
      <c r="F13" s="155"/>
      <c r="G13" s="203" t="s">
        <v>26</v>
      </c>
      <c r="H13" s="205" t="s">
        <v>86</v>
      </c>
      <c r="I13" s="2"/>
      <c r="J13" s="2" t="s">
        <v>19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97"/>
      <c r="Y13" s="97"/>
      <c r="Z13" s="97"/>
      <c r="AA13" s="7"/>
      <c r="LB13"/>
    </row>
    <row r="14" spans="1:315" x14ac:dyDescent="0.25">
      <c r="A14" s="97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84"/>
      <c r="AA14" s="7"/>
      <c r="LB14"/>
    </row>
    <row r="15" spans="1:315" ht="15.75" thickBot="1" x14ac:dyDescent="0.3">
      <c r="A15" s="7"/>
      <c r="B15" s="97"/>
      <c r="C15" s="97"/>
      <c r="D15" s="85" t="s">
        <v>28</v>
      </c>
      <c r="E15" s="204" t="s">
        <v>26</v>
      </c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86"/>
      <c r="V15" s="97"/>
      <c r="W15" s="97"/>
      <c r="X15" s="97"/>
      <c r="Y15" s="97"/>
      <c r="Z15" s="97"/>
      <c r="AA15" s="97"/>
      <c r="AB15" s="97"/>
      <c r="AC15" s="83"/>
      <c r="LC15" s="7"/>
    </row>
    <row r="16" spans="1:315" ht="15.75" thickBot="1" x14ac:dyDescent="0.3">
      <c r="A16" s="7"/>
      <c r="B16" s="97"/>
      <c r="C16" s="97"/>
      <c r="D16" s="174" t="s">
        <v>39</v>
      </c>
      <c r="E16" s="175" t="s">
        <v>0</v>
      </c>
      <c r="F16" s="176" t="s">
        <v>1</v>
      </c>
      <c r="G16" s="177" t="s">
        <v>2</v>
      </c>
      <c r="H16" s="177" t="s">
        <v>3</v>
      </c>
      <c r="I16" s="178" t="s">
        <v>4</v>
      </c>
      <c r="J16" s="178" t="s">
        <v>79</v>
      </c>
      <c r="K16" s="179" t="s">
        <v>80</v>
      </c>
      <c r="L16" s="178" t="s">
        <v>5</v>
      </c>
      <c r="M16" s="178" t="s">
        <v>6</v>
      </c>
      <c r="N16" s="178" t="s">
        <v>7</v>
      </c>
      <c r="O16" s="178" t="s">
        <v>9</v>
      </c>
      <c r="P16" s="178" t="s">
        <v>8</v>
      </c>
      <c r="Q16" s="178" t="s">
        <v>10</v>
      </c>
      <c r="R16" s="180" t="s">
        <v>42</v>
      </c>
      <c r="S16" s="97"/>
      <c r="T16" s="7"/>
      <c r="U16" s="7"/>
      <c r="V16" s="7"/>
      <c r="W16" s="7"/>
      <c r="X16" s="7"/>
      <c r="Y16" s="7"/>
      <c r="Z16" s="7"/>
      <c r="AA16" s="7"/>
      <c r="KU16"/>
      <c r="KV16"/>
      <c r="KW16"/>
      <c r="KX16"/>
      <c r="KY16"/>
      <c r="KZ16"/>
      <c r="LA16"/>
      <c r="LB16"/>
    </row>
    <row r="17" spans="1:314" x14ac:dyDescent="0.25">
      <c r="A17" s="7"/>
      <c r="B17" s="97"/>
      <c r="C17" s="97"/>
      <c r="D17" s="167" t="s">
        <v>26</v>
      </c>
      <c r="E17" s="168" t="s">
        <v>26</v>
      </c>
      <c r="F17" s="168" t="s">
        <v>26</v>
      </c>
      <c r="G17" s="169" t="s">
        <v>26</v>
      </c>
      <c r="H17" s="95">
        <v>0</v>
      </c>
      <c r="I17" s="91">
        <v>0</v>
      </c>
      <c r="J17" s="183" t="s">
        <v>26</v>
      </c>
      <c r="K17" s="186" t="s">
        <v>26</v>
      </c>
      <c r="L17" s="170">
        <f t="shared" ref="L17:L22" si="0">IF(H17&gt;0,"Decimal2",0)</f>
        <v>0</v>
      </c>
      <c r="M17" s="92">
        <v>0</v>
      </c>
      <c r="N17" s="171">
        <f>IF(I17&gt;0,'Comm Calc'!G2*'Comm Calc'!H2,0)</f>
        <v>0</v>
      </c>
      <c r="O17" s="172">
        <v>0</v>
      </c>
      <c r="P17" s="173">
        <v>0</v>
      </c>
      <c r="Q17" s="170">
        <f>IF(N17&gt;0,1,0)</f>
        <v>0</v>
      </c>
      <c r="R17" s="168" t="s">
        <v>26</v>
      </c>
      <c r="S17" s="5"/>
      <c r="T17" s="7"/>
      <c r="U17" s="7"/>
      <c r="V17" s="7"/>
      <c r="W17" s="7"/>
      <c r="X17" s="7"/>
      <c r="Y17" s="7"/>
      <c r="Z17" s="7"/>
      <c r="AA17" s="7"/>
      <c r="KU17"/>
      <c r="KV17"/>
      <c r="KW17"/>
      <c r="KX17"/>
      <c r="KY17"/>
      <c r="KZ17"/>
      <c r="LA17"/>
      <c r="LB17"/>
    </row>
    <row r="18" spans="1:314" x14ac:dyDescent="0.25">
      <c r="A18" s="7"/>
      <c r="B18" s="97"/>
      <c r="C18" s="97"/>
      <c r="D18" s="88" t="s">
        <v>26</v>
      </c>
      <c r="E18" s="89" t="s">
        <v>26</v>
      </c>
      <c r="F18" s="89" t="s">
        <v>26</v>
      </c>
      <c r="G18" s="90" t="s">
        <v>26</v>
      </c>
      <c r="H18" s="95">
        <v>0</v>
      </c>
      <c r="I18" s="91">
        <v>0</v>
      </c>
      <c r="J18" s="184" t="s">
        <v>26</v>
      </c>
      <c r="K18" s="187" t="s">
        <v>26</v>
      </c>
      <c r="L18" s="170">
        <f t="shared" si="0"/>
        <v>0</v>
      </c>
      <c r="M18" s="92">
        <v>0</v>
      </c>
      <c r="N18" s="171">
        <f>IF(I18&gt;0,'Comm Calc'!G3*'Comm Calc'!H3,0)</f>
        <v>0</v>
      </c>
      <c r="O18" s="94">
        <v>0</v>
      </c>
      <c r="P18" s="93">
        <v>0</v>
      </c>
      <c r="Q18" s="170">
        <f>IF(N18&gt;0,2,0)</f>
        <v>0</v>
      </c>
      <c r="R18" s="89" t="s">
        <v>26</v>
      </c>
      <c r="S18" s="5"/>
      <c r="T18" s="7"/>
      <c r="U18" s="7"/>
      <c r="V18" s="7"/>
      <c r="W18" s="7"/>
      <c r="X18" s="7"/>
      <c r="Y18" s="7"/>
      <c r="Z18" s="7"/>
      <c r="AA18" s="7"/>
      <c r="KU18"/>
      <c r="KV18"/>
      <c r="KW18"/>
      <c r="KX18"/>
      <c r="KY18"/>
      <c r="KZ18"/>
      <c r="LA18"/>
      <c r="LB18"/>
    </row>
    <row r="19" spans="1:314" x14ac:dyDescent="0.25">
      <c r="A19" s="7"/>
      <c r="B19" s="97"/>
      <c r="C19" s="97"/>
      <c r="D19" s="88" t="s">
        <v>26</v>
      </c>
      <c r="E19" s="89" t="s">
        <v>26</v>
      </c>
      <c r="F19" s="89"/>
      <c r="G19" s="90" t="s">
        <v>26</v>
      </c>
      <c r="H19" s="95">
        <v>0</v>
      </c>
      <c r="I19" s="91">
        <v>0</v>
      </c>
      <c r="J19" s="184"/>
      <c r="K19" s="91" t="s">
        <v>26</v>
      </c>
      <c r="L19" s="170">
        <f t="shared" si="0"/>
        <v>0</v>
      </c>
      <c r="M19" s="92">
        <v>0</v>
      </c>
      <c r="N19" s="171">
        <f>IF(I19&gt;0,"='Comm Calc'!F4*'Comm Calc'!G4",0)</f>
        <v>0</v>
      </c>
      <c r="O19" s="94">
        <v>0</v>
      </c>
      <c r="P19" s="93">
        <v>0</v>
      </c>
      <c r="Q19" s="170">
        <f>IF(N19&gt;0,3,0)</f>
        <v>0</v>
      </c>
      <c r="R19" s="89"/>
      <c r="S19" s="5"/>
      <c r="T19" s="7"/>
      <c r="U19" s="7"/>
      <c r="V19" s="7"/>
      <c r="W19" s="7"/>
      <c r="X19" s="7"/>
      <c r="Y19" s="7"/>
      <c r="Z19" s="7"/>
      <c r="AA19" s="7"/>
      <c r="KU19"/>
      <c r="KV19"/>
      <c r="KW19"/>
      <c r="KX19"/>
      <c r="KY19"/>
      <c r="KZ19"/>
      <c r="LA19"/>
      <c r="LB19"/>
    </row>
    <row r="20" spans="1:314" x14ac:dyDescent="0.25">
      <c r="A20" s="7"/>
      <c r="B20" s="97"/>
      <c r="C20" s="97"/>
      <c r="D20" s="88" t="s">
        <v>26</v>
      </c>
      <c r="E20" s="89" t="s">
        <v>26</v>
      </c>
      <c r="F20" s="89"/>
      <c r="G20" s="90" t="s">
        <v>26</v>
      </c>
      <c r="H20" s="95">
        <v>0</v>
      </c>
      <c r="I20" s="91">
        <v>0</v>
      </c>
      <c r="J20" s="184"/>
      <c r="K20" s="91"/>
      <c r="L20" s="170">
        <f t="shared" si="0"/>
        <v>0</v>
      </c>
      <c r="M20" s="92">
        <v>0</v>
      </c>
      <c r="N20" s="171">
        <f>IF(I20&gt;0,"='Comm Calc'!F5*'Comm Calc'!G5",0)</f>
        <v>0</v>
      </c>
      <c r="O20" s="94">
        <v>0</v>
      </c>
      <c r="P20" s="93">
        <v>0</v>
      </c>
      <c r="Q20" s="170">
        <f>IF(N20&gt;0,4,0)</f>
        <v>0</v>
      </c>
      <c r="R20" s="89"/>
      <c r="S20" s="5"/>
      <c r="T20" s="7"/>
      <c r="U20" s="7"/>
      <c r="V20" s="7"/>
      <c r="W20" s="7"/>
      <c r="X20" s="7"/>
      <c r="Y20" s="7"/>
      <c r="Z20" s="7"/>
      <c r="AA20" s="7"/>
      <c r="KU20"/>
      <c r="KV20"/>
      <c r="KW20"/>
      <c r="KX20"/>
      <c r="KY20"/>
      <c r="KZ20"/>
      <c r="LA20"/>
      <c r="LB20"/>
    </row>
    <row r="21" spans="1:314" x14ac:dyDescent="0.25">
      <c r="A21" s="7"/>
      <c r="B21" s="97"/>
      <c r="C21" s="97"/>
      <c r="D21" s="88" t="s">
        <v>26</v>
      </c>
      <c r="E21" s="89" t="s">
        <v>26</v>
      </c>
      <c r="F21" s="89"/>
      <c r="G21" s="90" t="s">
        <v>26</v>
      </c>
      <c r="H21" s="95">
        <v>0</v>
      </c>
      <c r="I21" s="91">
        <v>0</v>
      </c>
      <c r="J21" s="184"/>
      <c r="K21" s="91"/>
      <c r="L21" s="170">
        <f t="shared" si="0"/>
        <v>0</v>
      </c>
      <c r="M21" s="92">
        <v>0</v>
      </c>
      <c r="N21" s="171">
        <f>IF(I21&gt;0,"='Comm Calc'!F6*'Comm Calc'!G6",0)</f>
        <v>0</v>
      </c>
      <c r="O21" s="94">
        <v>0</v>
      </c>
      <c r="P21" s="93">
        <v>0</v>
      </c>
      <c r="Q21" s="170">
        <f>IF(N21&gt;0,5,0)</f>
        <v>0</v>
      </c>
      <c r="R21" s="89"/>
      <c r="S21" s="5"/>
      <c r="T21" s="7"/>
      <c r="U21" s="7"/>
      <c r="V21" s="7"/>
      <c r="W21" s="7"/>
      <c r="X21" s="7"/>
      <c r="Y21" s="7"/>
      <c r="Z21" s="7"/>
      <c r="AA21" s="7"/>
      <c r="KU21"/>
      <c r="KV21"/>
      <c r="KW21"/>
      <c r="KX21"/>
      <c r="KY21"/>
      <c r="KZ21"/>
      <c r="LA21"/>
      <c r="LB21"/>
    </row>
    <row r="22" spans="1:314" x14ac:dyDescent="0.25">
      <c r="A22" s="7"/>
      <c r="B22" s="97"/>
      <c r="C22" s="97"/>
      <c r="D22" s="11" t="s">
        <v>26</v>
      </c>
      <c r="E22" s="1" t="s">
        <v>26</v>
      </c>
      <c r="F22" s="1"/>
      <c r="G22" s="17" t="s">
        <v>26</v>
      </c>
      <c r="H22" s="12">
        <v>0</v>
      </c>
      <c r="I22" s="13">
        <v>0</v>
      </c>
      <c r="J22" s="185"/>
      <c r="K22" s="13"/>
      <c r="L22" s="1">
        <f t="shared" si="0"/>
        <v>0</v>
      </c>
      <c r="M22" s="96">
        <v>0</v>
      </c>
      <c r="N22" s="14">
        <f>IF(I22&gt;0,'Comm Calc'!G7*'Comm Calc'!H7,0)</f>
        <v>0</v>
      </c>
      <c r="O22" s="16">
        <v>0</v>
      </c>
      <c r="P22" s="15">
        <v>0</v>
      </c>
      <c r="Q22" s="1">
        <f>IF(N22&gt;0,6,0)</f>
        <v>0</v>
      </c>
      <c r="R22" s="1"/>
      <c r="S22" s="97"/>
      <c r="T22" s="7"/>
      <c r="U22" s="7"/>
      <c r="V22" s="7"/>
      <c r="W22" s="7"/>
      <c r="X22" s="7"/>
      <c r="Y22" s="7"/>
      <c r="Z22" s="7"/>
      <c r="AA22" s="7"/>
      <c r="KU22"/>
      <c r="KV22"/>
      <c r="KW22"/>
      <c r="KX22"/>
      <c r="KY22"/>
      <c r="KZ22"/>
      <c r="LA22"/>
      <c r="LB22"/>
    </row>
    <row r="23" spans="1:314" x14ac:dyDescent="0.25">
      <c r="A23" s="7"/>
      <c r="B23" s="97"/>
      <c r="C23" s="97"/>
      <c r="D23" s="11" t="s">
        <v>26</v>
      </c>
      <c r="E23" s="1" t="s">
        <v>26</v>
      </c>
      <c r="F23" s="1"/>
      <c r="G23" s="17" t="s">
        <v>26</v>
      </c>
      <c r="H23" s="12">
        <v>0</v>
      </c>
      <c r="I23" s="13">
        <v>0</v>
      </c>
      <c r="J23" s="185"/>
      <c r="K23" s="13"/>
      <c r="L23" s="1">
        <f t="shared" ref="L23:L29" si="1">IF(H23&gt;0,"Decimal2",0)</f>
        <v>0</v>
      </c>
      <c r="M23" s="96">
        <v>0</v>
      </c>
      <c r="N23" s="14">
        <f>IF(I23&gt;0,'Comm Calc'!G8*'Comm Calc'!H8,0)</f>
        <v>0</v>
      </c>
      <c r="O23" s="16">
        <v>0</v>
      </c>
      <c r="P23" s="15">
        <v>0</v>
      </c>
      <c r="Q23" s="1">
        <f>IF(N23&gt;0,7,0)</f>
        <v>0</v>
      </c>
      <c r="R23" s="1"/>
      <c r="S23" s="97"/>
      <c r="T23" s="83"/>
      <c r="U23" s="7"/>
      <c r="V23" s="7"/>
      <c r="W23" s="7"/>
      <c r="X23" s="7"/>
      <c r="Y23" s="7"/>
      <c r="Z23" s="7"/>
      <c r="AA23" s="7"/>
      <c r="KU23"/>
      <c r="KV23"/>
      <c r="KW23"/>
      <c r="KX23"/>
      <c r="KY23"/>
      <c r="KZ23"/>
      <c r="LA23"/>
      <c r="LB23"/>
    </row>
    <row r="24" spans="1:314" x14ac:dyDescent="0.25">
      <c r="A24" s="7"/>
      <c r="B24" s="97"/>
      <c r="C24" s="97"/>
      <c r="D24" s="11" t="s">
        <v>26</v>
      </c>
      <c r="E24" s="1" t="s">
        <v>26</v>
      </c>
      <c r="F24" s="1"/>
      <c r="G24" s="17" t="s">
        <v>26</v>
      </c>
      <c r="H24" s="12">
        <v>0</v>
      </c>
      <c r="I24" s="13">
        <v>0</v>
      </c>
      <c r="J24" s="185"/>
      <c r="K24" s="13"/>
      <c r="L24" s="1">
        <f t="shared" si="1"/>
        <v>0</v>
      </c>
      <c r="M24" s="96">
        <v>0</v>
      </c>
      <c r="N24" s="14">
        <f>IF(I24&gt;0,'Comm Calc'!G9*'Comm Calc'!H9,0)</f>
        <v>0</v>
      </c>
      <c r="O24" s="16">
        <v>0</v>
      </c>
      <c r="P24" s="15">
        <v>0</v>
      </c>
      <c r="Q24" s="1">
        <f>IF(N24&gt;0,8,0)</f>
        <v>0</v>
      </c>
      <c r="R24" s="1"/>
      <c r="S24" s="97"/>
      <c r="T24" s="83"/>
      <c r="U24" s="7"/>
      <c r="V24" s="7"/>
      <c r="W24" s="7"/>
      <c r="X24" s="7"/>
      <c r="Y24" s="7"/>
      <c r="Z24" s="7"/>
      <c r="AA24" s="7"/>
      <c r="KU24"/>
      <c r="KV24"/>
      <c r="KW24"/>
      <c r="KX24"/>
      <c r="KY24"/>
      <c r="KZ24"/>
      <c r="LA24"/>
      <c r="LB24"/>
    </row>
    <row r="25" spans="1:314" x14ac:dyDescent="0.25">
      <c r="A25" s="7"/>
      <c r="B25" s="97"/>
      <c r="C25" s="97"/>
      <c r="D25" s="11" t="s">
        <v>26</v>
      </c>
      <c r="E25" s="1" t="s">
        <v>26</v>
      </c>
      <c r="F25" s="1"/>
      <c r="G25" s="17" t="s">
        <v>26</v>
      </c>
      <c r="H25" s="12">
        <v>0</v>
      </c>
      <c r="I25" s="13">
        <v>0</v>
      </c>
      <c r="J25" s="185"/>
      <c r="K25" s="13"/>
      <c r="L25" s="1">
        <f t="shared" si="1"/>
        <v>0</v>
      </c>
      <c r="M25" s="96">
        <v>0</v>
      </c>
      <c r="N25" s="14">
        <f>IF(I25&gt;0,'Comm Calc'!G10*'Comm Calc'!H10,0)</f>
        <v>0</v>
      </c>
      <c r="O25" s="16">
        <v>0</v>
      </c>
      <c r="P25" s="15">
        <v>0</v>
      </c>
      <c r="Q25" s="1">
        <f>IF(N25&gt;0,9,0)</f>
        <v>0</v>
      </c>
      <c r="R25" s="1"/>
      <c r="S25" s="97"/>
      <c r="T25" s="83"/>
      <c r="U25" s="7"/>
      <c r="V25" s="7"/>
      <c r="W25" s="7"/>
      <c r="X25" s="7"/>
      <c r="Y25" s="7"/>
      <c r="Z25" s="7"/>
      <c r="AA25" s="7"/>
      <c r="KU25"/>
      <c r="KV25"/>
      <c r="KW25"/>
      <c r="KX25"/>
      <c r="KY25"/>
      <c r="KZ25"/>
      <c r="LA25"/>
      <c r="LB25"/>
    </row>
    <row r="26" spans="1:314" x14ac:dyDescent="0.25">
      <c r="A26" s="7"/>
      <c r="B26" s="2"/>
      <c r="C26" s="2"/>
      <c r="D26" s="11" t="s">
        <v>26</v>
      </c>
      <c r="E26" s="1" t="s">
        <v>26</v>
      </c>
      <c r="F26" s="1"/>
      <c r="G26" s="17" t="s">
        <v>26</v>
      </c>
      <c r="H26" s="12">
        <v>0</v>
      </c>
      <c r="I26" s="13">
        <v>0</v>
      </c>
      <c r="J26" s="185"/>
      <c r="K26" s="13"/>
      <c r="L26" s="1">
        <f t="shared" si="1"/>
        <v>0</v>
      </c>
      <c r="M26" s="96">
        <v>0</v>
      </c>
      <c r="N26" s="14">
        <f>IF(I26&gt;0,'Comm Calc'!G11*'Comm Calc'!H11,0)</f>
        <v>0</v>
      </c>
      <c r="O26" s="16">
        <v>0</v>
      </c>
      <c r="P26" s="15">
        <v>0</v>
      </c>
      <c r="Q26" s="1">
        <f>IF(N26&gt;0,10,0)</f>
        <v>0</v>
      </c>
      <c r="R26" s="1"/>
      <c r="S26" s="2"/>
      <c r="T26" s="7"/>
      <c r="U26" s="7"/>
      <c r="V26" s="7"/>
      <c r="W26" s="7"/>
      <c r="X26" s="7"/>
      <c r="Y26" s="7"/>
      <c r="Z26" s="7"/>
      <c r="AA26" s="7"/>
      <c r="KU26"/>
      <c r="KV26"/>
      <c r="KW26"/>
      <c r="KX26"/>
      <c r="KY26"/>
      <c r="KZ26"/>
      <c r="LA26"/>
      <c r="LB26"/>
    </row>
    <row r="27" spans="1:314" x14ac:dyDescent="0.25">
      <c r="A27" s="7"/>
      <c r="B27" s="2"/>
      <c r="C27" s="2"/>
      <c r="D27" s="11" t="s">
        <v>26</v>
      </c>
      <c r="E27" s="1" t="s">
        <v>26</v>
      </c>
      <c r="F27" s="1"/>
      <c r="G27" s="17" t="s">
        <v>26</v>
      </c>
      <c r="H27" s="12">
        <v>0</v>
      </c>
      <c r="I27" s="13">
        <v>0</v>
      </c>
      <c r="J27" s="185"/>
      <c r="K27" s="13"/>
      <c r="L27" s="1">
        <f t="shared" si="1"/>
        <v>0</v>
      </c>
      <c r="M27" s="96">
        <v>0</v>
      </c>
      <c r="N27" s="14">
        <f>IF(I27&gt;0,'Comm Calc'!G12*'Comm Calc'!H12,0)</f>
        <v>0</v>
      </c>
      <c r="O27" s="16">
        <v>0</v>
      </c>
      <c r="P27" s="15">
        <v>0</v>
      </c>
      <c r="Q27" s="1">
        <f>IF(N27&gt;0,11,0)</f>
        <v>0</v>
      </c>
      <c r="R27" s="1"/>
      <c r="S27" s="2"/>
      <c r="T27" s="7"/>
      <c r="U27" s="7"/>
      <c r="V27" s="7"/>
      <c r="W27" s="7"/>
      <c r="X27" s="7"/>
      <c r="Y27" s="7"/>
      <c r="Z27" s="7"/>
      <c r="AA27" s="7"/>
      <c r="KU27"/>
      <c r="KV27"/>
      <c r="KW27"/>
      <c r="KX27"/>
      <c r="KY27"/>
      <c r="KZ27"/>
      <c r="LA27"/>
      <c r="LB27"/>
    </row>
    <row r="28" spans="1:314" x14ac:dyDescent="0.25">
      <c r="A28" s="7"/>
      <c r="B28" s="2"/>
      <c r="C28" s="2"/>
      <c r="D28" s="11" t="s">
        <v>26</v>
      </c>
      <c r="E28" s="1" t="s">
        <v>26</v>
      </c>
      <c r="F28" s="1"/>
      <c r="G28" s="17" t="s">
        <v>26</v>
      </c>
      <c r="H28" s="12">
        <v>0</v>
      </c>
      <c r="I28" s="13">
        <v>0</v>
      </c>
      <c r="J28" s="185"/>
      <c r="K28" s="13"/>
      <c r="L28" s="1">
        <f t="shared" si="1"/>
        <v>0</v>
      </c>
      <c r="M28" s="96">
        <v>0</v>
      </c>
      <c r="N28" s="14">
        <f>IF(I28&gt;0,'Comm Calc'!G13*'Comm Calc'!H13,0)</f>
        <v>0</v>
      </c>
      <c r="O28" s="16">
        <v>0</v>
      </c>
      <c r="P28" s="15">
        <v>0</v>
      </c>
      <c r="Q28" s="1">
        <f>IF(N28&gt;0,12,0)</f>
        <v>0</v>
      </c>
      <c r="R28" s="1"/>
      <c r="S28" s="2"/>
      <c r="T28" s="7"/>
      <c r="U28" s="7"/>
      <c r="V28" s="7"/>
      <c r="W28" s="7"/>
      <c r="X28" s="7"/>
      <c r="Y28" s="7"/>
      <c r="Z28" s="7"/>
      <c r="AA28" s="7"/>
      <c r="KU28"/>
      <c r="KV28"/>
      <c r="KW28"/>
      <c r="KX28"/>
      <c r="KY28"/>
      <c r="KZ28"/>
      <c r="LA28"/>
      <c r="LB28"/>
    </row>
    <row r="29" spans="1:314" x14ac:dyDescent="0.25">
      <c r="A29" s="7"/>
      <c r="B29" s="2"/>
      <c r="C29" s="2"/>
      <c r="D29" s="11" t="s">
        <v>26</v>
      </c>
      <c r="E29" s="1" t="s">
        <v>26</v>
      </c>
      <c r="F29" s="1"/>
      <c r="G29" s="17" t="s">
        <v>26</v>
      </c>
      <c r="H29" s="12">
        <v>0</v>
      </c>
      <c r="I29" s="13">
        <v>0</v>
      </c>
      <c r="J29" s="185"/>
      <c r="K29" s="13"/>
      <c r="L29" s="1">
        <f t="shared" si="1"/>
        <v>0</v>
      </c>
      <c r="M29" s="96">
        <v>0</v>
      </c>
      <c r="N29" s="14">
        <f>IF(I29&gt;0,'Comm Calc'!G14*'Comm Calc'!H14,0)</f>
        <v>0</v>
      </c>
      <c r="O29" s="16">
        <v>0</v>
      </c>
      <c r="P29" s="15">
        <v>0</v>
      </c>
      <c r="Q29" s="1">
        <f>IF(N29&gt;0,13,0)</f>
        <v>0</v>
      </c>
      <c r="R29" s="1"/>
      <c r="S29" s="2"/>
      <c r="T29" s="7"/>
      <c r="U29" s="7"/>
      <c r="V29" s="7"/>
      <c r="W29" s="7"/>
      <c r="X29" s="7"/>
      <c r="Y29" s="7"/>
      <c r="Z29" s="7"/>
      <c r="AA29" s="7"/>
      <c r="KU29"/>
      <c r="KV29"/>
      <c r="KW29"/>
      <c r="KX29"/>
      <c r="KY29"/>
      <c r="KZ29"/>
      <c r="LA29"/>
      <c r="LB29"/>
    </row>
    <row r="30" spans="1:314" x14ac:dyDescent="0.25">
      <c r="A30" s="7"/>
      <c r="B30" s="2"/>
      <c r="C30" s="2"/>
      <c r="D30" s="11" t="s">
        <v>26</v>
      </c>
      <c r="E30" s="1" t="s">
        <v>26</v>
      </c>
      <c r="F30" s="1"/>
      <c r="G30" s="17" t="s">
        <v>26</v>
      </c>
      <c r="H30" s="12">
        <v>0</v>
      </c>
      <c r="I30" s="13">
        <v>0</v>
      </c>
      <c r="J30" s="185"/>
      <c r="K30" s="13"/>
      <c r="L30" s="1">
        <f>IF(H30&gt;0,"Decimal2",0)</f>
        <v>0</v>
      </c>
      <c r="M30" s="96">
        <v>0</v>
      </c>
      <c r="N30" s="14">
        <f>IF(I30&gt;0,'Comm Calc'!G15*'Comm Calc'!H15,0)</f>
        <v>0</v>
      </c>
      <c r="O30" s="16">
        <v>0</v>
      </c>
      <c r="P30" s="15">
        <v>0</v>
      </c>
      <c r="Q30" s="1">
        <f>IF(N30&gt;0,14,0)</f>
        <v>0</v>
      </c>
      <c r="R30" s="1"/>
      <c r="S30" s="1"/>
      <c r="T30" s="1"/>
      <c r="U30" s="1"/>
      <c r="V30" s="1"/>
      <c r="W30" s="1"/>
      <c r="X30" s="1"/>
      <c r="Y30" s="2"/>
      <c r="Z30" s="7"/>
      <c r="AA30" s="7"/>
      <c r="LA30"/>
      <c r="LB30"/>
    </row>
    <row r="31" spans="1:314" x14ac:dyDescent="0.25">
      <c r="A31" s="2"/>
      <c r="B31" s="2"/>
      <c r="C31" s="2"/>
      <c r="D31" s="2"/>
      <c r="E31" s="2"/>
      <c r="F31" s="2"/>
      <c r="G31" s="4" t="s">
        <v>26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314" x14ac:dyDescent="0.25">
      <c r="A32" s="2"/>
      <c r="B32" s="2"/>
      <c r="C32" s="2"/>
      <c r="D32" s="2"/>
      <c r="E32" s="2"/>
      <c r="F32" s="2"/>
      <c r="G32" s="4" t="s">
        <v>26</v>
      </c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5">
      <c r="A33" s="2"/>
      <c r="B33" s="2"/>
      <c r="C33" s="2"/>
      <c r="D33" s="2"/>
      <c r="E33" s="2"/>
      <c r="F33" s="2"/>
      <c r="G33" s="4" t="s">
        <v>26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2"/>
      <c r="B34" s="2"/>
      <c r="C34" s="2"/>
      <c r="D34" s="2"/>
      <c r="E34" s="2"/>
      <c r="F34" s="2"/>
      <c r="G34" s="4" t="s">
        <v>26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2"/>
      <c r="B35" s="2"/>
      <c r="C35" s="2"/>
      <c r="D35" s="2"/>
      <c r="E35" s="2"/>
      <c r="F35" s="2"/>
      <c r="G35" s="4" t="s">
        <v>26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5">
      <c r="A36" s="2"/>
      <c r="B36" s="2"/>
      <c r="C36" s="2"/>
      <c r="D36" s="2"/>
      <c r="E36" s="2"/>
      <c r="F36" s="2"/>
      <c r="G36" s="4" t="s">
        <v>26</v>
      </c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5">
      <c r="A37" s="2"/>
      <c r="B37" s="2"/>
      <c r="C37" s="2"/>
      <c r="D37" s="2"/>
      <c r="E37" s="2"/>
      <c r="F37" s="2"/>
      <c r="G37" s="4" t="s">
        <v>26</v>
      </c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2"/>
      <c r="B38" s="2"/>
      <c r="C38" s="2"/>
      <c r="D38" s="2"/>
      <c r="E38" s="2"/>
      <c r="F38" s="2"/>
      <c r="G38" s="2" t="s">
        <v>26</v>
      </c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5">
      <c r="A46" s="2"/>
      <c r="B46" s="2"/>
      <c r="C46" s="2"/>
      <c r="D46" s="2"/>
      <c r="E46" s="2"/>
      <c r="F46" s="97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5">
      <c r="A47" s="2"/>
      <c r="B47" s="2"/>
      <c r="C47" s="2"/>
      <c r="D47" s="2"/>
      <c r="E47" s="2"/>
      <c r="F47" s="97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5">
      <c r="A48" s="2"/>
      <c r="B48" s="2"/>
      <c r="C48" s="2"/>
      <c r="D48" s="2"/>
      <c r="E48" s="2"/>
      <c r="F48" s="97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5">
      <c r="A49" s="2"/>
      <c r="B49" s="2"/>
      <c r="C49" s="2"/>
      <c r="D49" s="2"/>
      <c r="E49" s="2"/>
      <c r="F49" s="97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5">
      <c r="A50" s="2"/>
      <c r="B50" s="2"/>
      <c r="C50" s="2"/>
      <c r="D50" s="2"/>
      <c r="E50" s="2"/>
      <c r="F50" s="97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5">
      <c r="A51" s="2"/>
      <c r="B51" s="2"/>
      <c r="C51" s="2"/>
      <c r="D51" s="2"/>
      <c r="E51" s="2"/>
      <c r="F51" s="97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5">
      <c r="A52" s="2"/>
      <c r="B52" s="2"/>
      <c r="C52" s="2"/>
      <c r="D52" s="2"/>
      <c r="E52" s="2"/>
      <c r="F52" s="97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5">
      <c r="A53" s="2"/>
      <c r="B53" s="2"/>
      <c r="C53" s="2"/>
      <c r="D53" s="2"/>
      <c r="E53" s="2"/>
      <c r="F53" s="97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5">
      <c r="A66" s="2"/>
      <c r="B66" s="2"/>
      <c r="C66" s="2"/>
      <c r="D66" s="2"/>
      <c r="E66" s="2"/>
      <c r="F66" s="2" t="s">
        <v>11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5">
      <c r="A67" s="2"/>
      <c r="B67" s="2"/>
      <c r="C67" s="2"/>
      <c r="D67" s="2"/>
      <c r="E67" s="2"/>
      <c r="F67" s="2" t="s">
        <v>12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>
        <v>0</v>
      </c>
      <c r="V100" s="2"/>
      <c r="W100" s="2"/>
      <c r="X100" s="2"/>
      <c r="Y100" s="2"/>
      <c r="Z100" s="2"/>
      <c r="AA100" s="2"/>
    </row>
    <row r="101" spans="1:27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1:27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1:27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1:27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1:27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1:27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1:27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1:27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1:27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1:27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1:27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1:27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1:27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1:27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1:27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1:27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1:27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1:27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1:27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1:27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1:27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1:27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1:27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1:27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1:27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1:27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1:27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1:27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1:27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1:27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1:27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1:27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1:27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1:27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1:27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1:27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1:27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1:27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1:27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1:27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1:27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1:27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1:27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1:27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1:27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1:27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1:27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1:27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1:27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1:27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1:27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1:27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1:27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1:27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1:27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1:27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1:27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1:27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1:27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1:27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1:27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1:27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1:27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1:27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1:27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1:27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1:27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1:27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1:27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1:27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1:27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1:27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1:27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1:27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1:27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1:27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1:27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1:27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1:27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1:27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1:27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1:27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1:27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1:27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1:27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1:27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1:27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1:27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1:27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1:27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1:27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1:27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1:27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1:27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1:27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1:27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1:27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1:27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1:27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1:27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1:27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1:27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1:27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1:27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1:27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1:27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1:27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1:27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1:27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1:27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1:27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1:27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1:27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1:27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1:27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1:27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1:27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1:27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1:27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1:27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1:27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1:27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1:27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1:27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1:27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1:27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 t="s">
        <v>22</v>
      </c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1:27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 t="s">
        <v>20</v>
      </c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1:27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 t="s">
        <v>21</v>
      </c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1:27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 t="s">
        <v>23</v>
      </c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1:27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 t="s">
        <v>24</v>
      </c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</sheetData>
  <mergeCells count="1">
    <mergeCell ref="M3:N3"/>
  </mergeCells>
  <conditionalFormatting sqref="Q8">
    <cfRule type="expression" dxfId="22" priority="5">
      <formula>"$F$19=""???"""</formula>
    </cfRule>
    <cfRule type="containsText" dxfId="21" priority="6" operator="containsText" text="SELL">
      <formula>NOT(ISERROR(SEARCH("SELL",Q8)))</formula>
    </cfRule>
    <cfRule type="containsText" dxfId="20" priority="7" operator="containsText" text="BUY">
      <formula>NOT(ISERROR(SEARCH("BUY",Q8)))</formula>
    </cfRule>
  </conditionalFormatting>
  <conditionalFormatting sqref="R30:X30 Q17:R22 R23:R29 Q23:Q30 D17:K30 M17:P30">
    <cfRule type="expression" dxfId="19" priority="8">
      <formula>$D17="??"</formula>
    </cfRule>
  </conditionalFormatting>
  <conditionalFormatting sqref="O8">
    <cfRule type="expression" dxfId="18" priority="2">
      <formula>"$F$19=""???"""</formula>
    </cfRule>
    <cfRule type="containsText" dxfId="17" priority="3" operator="containsText" text="SELL">
      <formula>NOT(ISERROR(SEARCH("SELL",O8)))</formula>
    </cfRule>
    <cfRule type="containsText" dxfId="16" priority="4" operator="containsText" text="BUY">
      <formula>NOT(ISERROR(SEARCH("BUY",O8)))</formula>
    </cfRule>
  </conditionalFormatting>
  <conditionalFormatting sqref="L17:L30">
    <cfRule type="expression" dxfId="15" priority="1">
      <formula>$D17="??"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span" xr2:uid="{00000000-0003-0000-0400-000003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Emer!M4:M4</xm:f>
              <xm:sqref>N4</xm:sqref>
            </x14:sparkline>
            <x14:sparkline>
              <xm:f>Emer!M5:M5</xm:f>
              <xm:sqref>N5</xm:sqref>
            </x14:sparkline>
          </x14:sparklines>
        </x14:sparklineGroup>
        <x14:sparklineGroup manualMax="0" manualMin="0" type="column" displayEmptyCellsAs="span" xr2:uid="{00000000-0003-0000-04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Emer!O4:O4</xm:f>
              <xm:sqref>P4</xm:sqref>
            </x14:sparkline>
            <x14:sparkline>
              <xm:f>Emer!O5:O5</xm:f>
              <xm:sqref>P5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C303"/>
  <sheetViews>
    <sheetView workbookViewId="0">
      <selection sqref="A1:XFD1048576"/>
    </sheetView>
  </sheetViews>
  <sheetFormatPr defaultRowHeight="15" customHeight="1" x14ac:dyDescent="0.25"/>
  <cols>
    <col min="1" max="1" width="1.5703125" customWidth="1"/>
    <col min="2" max="2" width="0.42578125" customWidth="1"/>
    <col min="3" max="3" width="6.28515625" customWidth="1"/>
    <col min="4" max="4" width="9.5703125" customWidth="1"/>
    <col min="5" max="5" width="11.28515625" customWidth="1"/>
    <col min="6" max="6" width="9" customWidth="1"/>
    <col min="7" max="7" width="10.28515625" customWidth="1"/>
    <col min="8" max="8" width="14.42578125" customWidth="1"/>
    <col min="9" max="9" width="10.7109375" customWidth="1"/>
    <col min="10" max="10" width="9.42578125" customWidth="1"/>
    <col min="11" max="11" width="8.42578125" customWidth="1"/>
    <col min="13" max="13" width="12" customWidth="1"/>
    <col min="14" max="14" width="12.85546875" customWidth="1"/>
    <col min="15" max="15" width="12" customWidth="1"/>
    <col min="16" max="16" width="11.28515625" customWidth="1"/>
    <col min="17" max="17" width="10.140625" customWidth="1"/>
    <col min="18" max="18" width="12.140625" customWidth="1"/>
    <col min="20" max="20" width="4.140625" customWidth="1"/>
    <col min="21" max="21" width="4" customWidth="1"/>
    <col min="22" max="22" width="3.85546875" customWidth="1"/>
    <col min="23" max="23" width="3.42578125" customWidth="1"/>
    <col min="24" max="24" width="3.85546875" customWidth="1"/>
    <col min="25" max="25" width="4.140625" customWidth="1"/>
    <col min="26" max="26" width="9.42578125" customWidth="1"/>
    <col min="27" max="27" width="0.7109375" customWidth="1"/>
    <col min="28" max="314" width="9.140625" style="7"/>
  </cols>
  <sheetData>
    <row r="1" spans="1:315" ht="15.75" thickBot="1" x14ac:dyDescent="0.3">
      <c r="A1" s="97"/>
      <c r="B1" s="9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97"/>
      <c r="Q1" s="97"/>
      <c r="R1" s="97"/>
      <c r="S1" s="97"/>
      <c r="T1" s="2"/>
      <c r="U1" s="2"/>
      <c r="V1" s="2"/>
      <c r="W1" s="2"/>
      <c r="X1" s="2"/>
      <c r="Y1" s="2"/>
      <c r="Z1" s="2"/>
      <c r="AA1" s="2"/>
    </row>
    <row r="2" spans="1:315" ht="15.75" thickBot="1" x14ac:dyDescent="0.3">
      <c r="A2" s="97"/>
      <c r="B2" s="150"/>
      <c r="C2" s="196"/>
      <c r="D2" s="188"/>
      <c r="E2" s="188"/>
      <c r="F2" s="188"/>
      <c r="G2" s="188"/>
      <c r="H2" s="188"/>
      <c r="I2" s="188"/>
      <c r="J2" s="189"/>
      <c r="K2" s="2"/>
      <c r="L2" s="196" t="s">
        <v>35</v>
      </c>
      <c r="M2" s="188"/>
      <c r="N2" s="189"/>
      <c r="O2" s="97"/>
      <c r="P2" s="97"/>
      <c r="Q2" s="97"/>
      <c r="R2" s="97"/>
      <c r="S2" s="2"/>
      <c r="T2" s="2"/>
      <c r="U2" s="2"/>
      <c r="V2" s="2"/>
      <c r="W2" s="2"/>
      <c r="X2" s="2"/>
      <c r="Y2" s="2"/>
      <c r="Z2" s="7"/>
      <c r="AA2" s="7"/>
      <c r="LA2"/>
      <c r="LB2"/>
    </row>
    <row r="3" spans="1:315" ht="15.75" thickBot="1" x14ac:dyDescent="0.3">
      <c r="A3" s="97"/>
      <c r="B3" s="97"/>
      <c r="C3" s="190"/>
      <c r="D3" s="150" t="s">
        <v>14</v>
      </c>
      <c r="E3" s="206" t="s">
        <v>41</v>
      </c>
      <c r="F3" s="158"/>
      <c r="G3" s="97"/>
      <c r="H3" s="97"/>
      <c r="I3" s="97"/>
      <c r="J3" s="191"/>
      <c r="K3" s="2"/>
      <c r="L3" s="202" t="s">
        <v>2</v>
      </c>
      <c r="M3" s="307" t="s">
        <v>36</v>
      </c>
      <c r="N3" s="308"/>
      <c r="O3" s="97"/>
      <c r="P3" s="150"/>
      <c r="Q3" s="97"/>
      <c r="R3" s="97"/>
      <c r="S3" s="2"/>
      <c r="T3" s="2"/>
      <c r="U3" s="2"/>
      <c r="V3" s="2"/>
      <c r="W3" s="2"/>
      <c r="X3" s="2"/>
      <c r="Y3" s="2"/>
      <c r="Z3" s="7"/>
      <c r="AA3" s="7"/>
      <c r="LA3"/>
      <c r="LB3"/>
    </row>
    <row r="4" spans="1:315" x14ac:dyDescent="0.25">
      <c r="A4" s="97"/>
      <c r="B4" s="97"/>
      <c r="C4" s="190"/>
      <c r="D4" s="97"/>
      <c r="E4" s="97"/>
      <c r="F4" s="97"/>
      <c r="G4" s="97"/>
      <c r="H4" s="97"/>
      <c r="I4" s="97"/>
      <c r="J4" s="191"/>
      <c r="K4" s="2"/>
      <c r="L4" s="197" t="s">
        <v>26</v>
      </c>
      <c r="M4" s="166" t="s">
        <v>26</v>
      </c>
      <c r="N4" s="198" t="s">
        <v>26</v>
      </c>
      <c r="O4" s="2"/>
      <c r="P4" s="207" t="s">
        <v>26</v>
      </c>
      <c r="Q4" s="2"/>
      <c r="R4" s="2"/>
      <c r="S4" s="2"/>
      <c r="T4" s="2"/>
      <c r="U4" s="2"/>
      <c r="V4" s="2"/>
      <c r="W4" s="2"/>
      <c r="X4" s="2"/>
      <c r="Y4" s="2"/>
      <c r="Z4" s="7"/>
      <c r="AA4" s="7"/>
      <c r="LA4"/>
      <c r="LB4"/>
    </row>
    <row r="5" spans="1:315" ht="15.75" thickBot="1" x14ac:dyDescent="0.3">
      <c r="A5" s="97"/>
      <c r="B5" s="97"/>
      <c r="C5" s="190"/>
      <c r="D5" s="97"/>
      <c r="E5" s="97"/>
      <c r="F5" s="97"/>
      <c r="G5" s="97"/>
      <c r="H5" s="97"/>
      <c r="I5" s="97"/>
      <c r="J5" s="191"/>
      <c r="K5" s="97"/>
      <c r="L5" s="199" t="s">
        <v>26</v>
      </c>
      <c r="M5" s="82" t="s">
        <v>26</v>
      </c>
      <c r="N5" s="198" t="s">
        <v>26</v>
      </c>
      <c r="O5" s="2"/>
      <c r="P5" s="207" t="s">
        <v>26</v>
      </c>
      <c r="Q5" s="2"/>
      <c r="R5" s="2"/>
      <c r="S5" s="2"/>
      <c r="T5" s="2"/>
      <c r="U5" s="2"/>
      <c r="V5" s="2"/>
      <c r="W5" s="2"/>
      <c r="X5" s="2"/>
      <c r="Y5" s="2"/>
      <c r="Z5" s="7"/>
      <c r="AA5" s="7"/>
      <c r="LA5"/>
      <c r="LB5"/>
    </row>
    <row r="6" spans="1:315" ht="15.75" thickBot="1" x14ac:dyDescent="0.3">
      <c r="A6" s="97"/>
      <c r="B6" s="97"/>
      <c r="C6" s="190"/>
      <c r="D6" s="150" t="s">
        <v>15</v>
      </c>
      <c r="E6" s="161" t="s">
        <v>26</v>
      </c>
      <c r="F6" s="150"/>
      <c r="G6" s="97"/>
      <c r="H6" s="97"/>
      <c r="I6" s="97"/>
      <c r="J6" s="191"/>
      <c r="K6" s="6"/>
      <c r="L6" s="199"/>
      <c r="M6" s="82"/>
      <c r="N6" s="200"/>
      <c r="O6" s="2"/>
      <c r="P6" s="207"/>
      <c r="Q6" s="2"/>
      <c r="R6" s="2"/>
      <c r="S6" s="2"/>
      <c r="T6" s="2"/>
      <c r="U6" s="2"/>
      <c r="V6" s="2"/>
      <c r="W6" s="2"/>
      <c r="X6" s="2"/>
      <c r="Y6" s="2"/>
      <c r="Z6" s="7"/>
      <c r="AA6" s="7"/>
      <c r="LA6"/>
      <c r="LB6"/>
    </row>
    <row r="7" spans="1:315" ht="15.75" thickBot="1" x14ac:dyDescent="0.3">
      <c r="A7" s="97"/>
      <c r="B7" s="97"/>
      <c r="C7" s="190"/>
      <c r="D7" s="97"/>
      <c r="E7" s="97" t="s">
        <v>26</v>
      </c>
      <c r="F7" s="97"/>
      <c r="G7" s="97"/>
      <c r="H7" s="97"/>
      <c r="I7" s="97"/>
      <c r="J7" s="191"/>
      <c r="K7" s="6"/>
      <c r="L7" s="201"/>
      <c r="M7" s="194"/>
      <c r="N7" s="195"/>
      <c r="O7" s="2"/>
      <c r="P7" s="97"/>
      <c r="Q7" s="2"/>
      <c r="R7" s="2"/>
      <c r="S7" s="2"/>
      <c r="T7" s="2"/>
      <c r="U7" s="2"/>
      <c r="V7" s="2"/>
      <c r="W7" s="2"/>
      <c r="X7" s="2"/>
      <c r="Y7" s="2"/>
      <c r="Z7" s="7"/>
      <c r="AA7" s="7"/>
      <c r="LA7"/>
      <c r="LB7"/>
    </row>
    <row r="8" spans="1:315" ht="15.75" thickBot="1" x14ac:dyDescent="0.3">
      <c r="A8" s="97"/>
      <c r="B8" s="97"/>
      <c r="C8" s="190"/>
      <c r="D8" s="97" t="s">
        <v>81</v>
      </c>
      <c r="E8" s="162" t="s">
        <v>26</v>
      </c>
      <c r="F8" s="159"/>
      <c r="G8" s="165" t="s">
        <v>16</v>
      </c>
      <c r="H8" s="157" t="s">
        <v>26</v>
      </c>
      <c r="I8" s="150"/>
      <c r="J8" s="192"/>
      <c r="K8" s="97"/>
      <c r="L8" s="97"/>
      <c r="M8" s="97"/>
      <c r="N8" s="2"/>
      <c r="O8" s="2"/>
      <c r="P8" s="97"/>
      <c r="Q8" s="2"/>
      <c r="R8" s="2"/>
      <c r="S8" s="2"/>
      <c r="T8" s="97"/>
      <c r="U8" s="2"/>
      <c r="V8" s="2"/>
      <c r="W8" s="97"/>
      <c r="X8" s="2"/>
      <c r="Y8" s="2"/>
      <c r="Z8" s="7"/>
      <c r="AA8" s="7"/>
      <c r="LA8"/>
      <c r="LB8"/>
    </row>
    <row r="9" spans="1:315" ht="15.75" thickBot="1" x14ac:dyDescent="0.3">
      <c r="A9" s="97"/>
      <c r="B9" s="97"/>
      <c r="C9" s="190"/>
      <c r="D9" s="97"/>
      <c r="E9" s="97" t="s">
        <v>26</v>
      </c>
      <c r="F9" s="97"/>
      <c r="G9" s="153"/>
      <c r="H9" s="97" t="s">
        <v>26</v>
      </c>
      <c r="I9" s="97"/>
      <c r="J9" s="192"/>
      <c r="K9" s="97"/>
      <c r="L9" s="2"/>
      <c r="M9" s="2"/>
      <c r="N9" s="2"/>
      <c r="O9" s="2"/>
      <c r="P9" s="97"/>
      <c r="Q9" s="2"/>
      <c r="R9" s="2"/>
      <c r="S9" s="2"/>
      <c r="T9" s="2"/>
      <c r="U9" s="2"/>
      <c r="V9" s="2"/>
      <c r="W9" s="2"/>
      <c r="X9" s="2"/>
      <c r="Y9" s="2"/>
      <c r="Z9" s="7"/>
      <c r="AA9" s="7"/>
      <c r="LA9"/>
      <c r="LB9"/>
    </row>
    <row r="10" spans="1:315" ht="15.75" thickBot="1" x14ac:dyDescent="0.3">
      <c r="A10" s="97"/>
      <c r="B10" s="97"/>
      <c r="C10" s="190"/>
      <c r="D10" s="97" t="s">
        <v>38</v>
      </c>
      <c r="E10" s="163" t="s">
        <v>26</v>
      </c>
      <c r="F10" s="160"/>
      <c r="G10" s="165" t="s">
        <v>17</v>
      </c>
      <c r="H10" s="164" t="s">
        <v>26</v>
      </c>
      <c r="I10" s="154"/>
      <c r="J10" s="192"/>
      <c r="K10" s="97"/>
      <c r="L10" s="2" t="s">
        <v>26</v>
      </c>
      <c r="M10" s="2" t="s">
        <v>37</v>
      </c>
      <c r="N10" s="181">
        <f ca="1">TODAY()</f>
        <v>43732</v>
      </c>
      <c r="O10" s="156"/>
      <c r="P10" s="208" t="s">
        <v>26</v>
      </c>
      <c r="Q10" s="156"/>
      <c r="R10" s="2"/>
      <c r="S10" s="2"/>
      <c r="T10" s="2"/>
      <c r="U10" s="2"/>
      <c r="V10" s="2"/>
      <c r="W10" s="2"/>
      <c r="X10" s="2"/>
      <c r="Y10" s="2"/>
      <c r="Z10" s="2"/>
      <c r="AA10" s="7"/>
      <c r="LB10"/>
    </row>
    <row r="11" spans="1:315" ht="15.75" thickBot="1" x14ac:dyDescent="0.3">
      <c r="A11" s="97"/>
      <c r="B11" s="97"/>
      <c r="C11" s="193"/>
      <c r="D11" s="194"/>
      <c r="E11" s="194"/>
      <c r="F11" s="194"/>
      <c r="G11" s="194"/>
      <c r="H11" s="194"/>
      <c r="I11" s="194"/>
      <c r="J11" s="195"/>
      <c r="K11" s="3"/>
      <c r="L11" s="2"/>
      <c r="M11" s="2"/>
      <c r="N11" s="2"/>
      <c r="O11" s="2"/>
      <c r="P11" s="97"/>
      <c r="Q11" s="97"/>
      <c r="R11" s="2"/>
      <c r="S11" s="2"/>
      <c r="T11" s="2"/>
      <c r="U11" s="2"/>
      <c r="V11" s="2"/>
      <c r="W11" s="97"/>
      <c r="X11" s="2"/>
      <c r="Y11" s="2"/>
      <c r="Z11" s="2"/>
      <c r="AA11" s="7"/>
      <c r="LB11"/>
    </row>
    <row r="12" spans="1:315" ht="15.75" thickBot="1" x14ac:dyDescent="0.3">
      <c r="A12" s="97"/>
      <c r="B12" s="97"/>
      <c r="C12" s="97"/>
      <c r="D12" s="97"/>
      <c r="E12" s="97"/>
      <c r="F12" s="97"/>
      <c r="G12" s="97"/>
      <c r="H12" s="97"/>
      <c r="I12" s="97"/>
      <c r="J12" s="97"/>
      <c r="K12" s="2"/>
      <c r="L12" s="2"/>
      <c r="M12" s="2" t="s">
        <v>26</v>
      </c>
      <c r="N12" s="2"/>
      <c r="O12" s="2"/>
      <c r="P12" s="97"/>
      <c r="Q12" s="2"/>
      <c r="R12" s="2"/>
      <c r="S12" s="2"/>
      <c r="T12" s="2"/>
      <c r="U12" s="2"/>
      <c r="V12" s="2"/>
      <c r="W12" s="2"/>
      <c r="X12" s="2"/>
      <c r="Y12" s="2"/>
      <c r="Z12" s="2"/>
      <c r="AA12" s="7"/>
      <c r="LB12"/>
    </row>
    <row r="13" spans="1:315" ht="15.75" thickBot="1" x14ac:dyDescent="0.3">
      <c r="A13" s="97"/>
      <c r="B13" s="97"/>
      <c r="C13" s="2"/>
      <c r="D13" s="150" t="s">
        <v>18</v>
      </c>
      <c r="E13" s="182">
        <f ca="1">WORKDAY(N10,2)</f>
        <v>43734</v>
      </c>
      <c r="F13" s="155"/>
      <c r="G13" s="203" t="s">
        <v>26</v>
      </c>
      <c r="H13" s="2" t="s">
        <v>26</v>
      </c>
      <c r="I13" s="2"/>
      <c r="J13" s="2" t="s">
        <v>19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97"/>
      <c r="Y13" s="97"/>
      <c r="Z13" s="97"/>
      <c r="AA13" s="7"/>
      <c r="LB13"/>
    </row>
    <row r="14" spans="1:315" x14ac:dyDescent="0.25">
      <c r="A14" s="97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84"/>
      <c r="AA14" s="7"/>
      <c r="LB14"/>
    </row>
    <row r="15" spans="1:315" ht="15.75" thickBot="1" x14ac:dyDescent="0.3">
      <c r="A15" s="7"/>
      <c r="B15" s="97"/>
      <c r="C15" s="97"/>
      <c r="D15" s="85" t="s">
        <v>28</v>
      </c>
      <c r="E15" s="204" t="s">
        <v>85</v>
      </c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86"/>
      <c r="V15" s="97"/>
      <c r="W15" s="97"/>
      <c r="X15" s="97"/>
      <c r="Y15" s="97"/>
      <c r="Z15" s="97"/>
      <c r="AA15" s="97"/>
      <c r="AB15" s="97"/>
      <c r="AC15" s="83"/>
      <c r="LC15" s="7"/>
    </row>
    <row r="16" spans="1:315" ht="15.75" thickBot="1" x14ac:dyDescent="0.3">
      <c r="A16" s="7"/>
      <c r="B16" s="97"/>
      <c r="C16" s="97"/>
      <c r="D16" s="174" t="s">
        <v>39</v>
      </c>
      <c r="E16" s="175" t="s">
        <v>0</v>
      </c>
      <c r="F16" s="176" t="s">
        <v>1</v>
      </c>
      <c r="G16" s="177" t="s">
        <v>2</v>
      </c>
      <c r="H16" s="177" t="s">
        <v>3</v>
      </c>
      <c r="I16" s="178" t="s">
        <v>4</v>
      </c>
      <c r="J16" s="178" t="s">
        <v>79</v>
      </c>
      <c r="K16" s="179" t="s">
        <v>80</v>
      </c>
      <c r="L16" s="178" t="s">
        <v>5</v>
      </c>
      <c r="M16" s="178" t="s">
        <v>6</v>
      </c>
      <c r="N16" s="178" t="s">
        <v>7</v>
      </c>
      <c r="O16" s="178" t="s">
        <v>9</v>
      </c>
      <c r="P16" s="178" t="s">
        <v>8</v>
      </c>
      <c r="Q16" s="178" t="s">
        <v>10</v>
      </c>
      <c r="R16" s="180" t="s">
        <v>42</v>
      </c>
      <c r="S16" s="97"/>
      <c r="T16" s="7"/>
      <c r="U16" s="7"/>
      <c r="V16" s="7"/>
      <c r="W16" s="7"/>
      <c r="X16" s="7"/>
      <c r="Y16" s="7"/>
      <c r="Z16" s="7"/>
      <c r="AA16" s="7"/>
      <c r="KU16"/>
      <c r="KV16"/>
      <c r="KW16"/>
      <c r="KX16"/>
      <c r="KY16"/>
      <c r="KZ16"/>
      <c r="LA16"/>
      <c r="LB16"/>
    </row>
    <row r="17" spans="1:314" x14ac:dyDescent="0.25">
      <c r="A17" s="7"/>
      <c r="B17" s="97"/>
      <c r="C17" s="97"/>
      <c r="D17" s="167" t="s">
        <v>26</v>
      </c>
      <c r="E17" s="168" t="s">
        <v>26</v>
      </c>
      <c r="F17" s="168" t="s">
        <v>26</v>
      </c>
      <c r="G17" s="169" t="s">
        <v>26</v>
      </c>
      <c r="H17" s="95">
        <v>0</v>
      </c>
      <c r="I17" s="91">
        <v>0</v>
      </c>
      <c r="J17" s="183" t="s">
        <v>26</v>
      </c>
      <c r="K17" s="186" t="s">
        <v>26</v>
      </c>
      <c r="L17" s="170">
        <f t="shared" ref="L17:L22" si="0">IF(H17&gt;0,"Decimal2",0)</f>
        <v>0</v>
      </c>
      <c r="M17" s="92">
        <v>0</v>
      </c>
      <c r="N17" s="171">
        <f>IF(I17&gt;0,'Comm Calc'!G2*'Comm Calc'!H2,0)</f>
        <v>0</v>
      </c>
      <c r="O17" s="172">
        <v>0</v>
      </c>
      <c r="P17" s="173">
        <v>0</v>
      </c>
      <c r="Q17" s="170">
        <f>IF(N17&gt;0,1,0)</f>
        <v>0</v>
      </c>
      <c r="R17" s="168" t="s">
        <v>26</v>
      </c>
      <c r="S17" s="5"/>
      <c r="T17" s="7"/>
      <c r="U17" s="7"/>
      <c r="V17" s="7"/>
      <c r="W17" s="7"/>
      <c r="X17" s="7"/>
      <c r="Y17" s="7"/>
      <c r="Z17" s="7"/>
      <c r="AA17" s="7"/>
      <c r="KU17"/>
      <c r="KV17"/>
      <c r="KW17"/>
      <c r="KX17"/>
      <c r="KY17"/>
      <c r="KZ17"/>
      <c r="LA17"/>
      <c r="LB17"/>
    </row>
    <row r="18" spans="1:314" x14ac:dyDescent="0.25">
      <c r="A18" s="7"/>
      <c r="B18" s="97"/>
      <c r="C18" s="97"/>
      <c r="D18" s="88" t="s">
        <v>26</v>
      </c>
      <c r="E18" s="89" t="s">
        <v>26</v>
      </c>
      <c r="F18" s="89" t="s">
        <v>26</v>
      </c>
      <c r="G18" s="90" t="s">
        <v>26</v>
      </c>
      <c r="H18" s="95">
        <v>0</v>
      </c>
      <c r="I18" s="91">
        <v>0</v>
      </c>
      <c r="J18" s="184" t="s">
        <v>26</v>
      </c>
      <c r="K18" s="187" t="s">
        <v>26</v>
      </c>
      <c r="L18" s="170">
        <f t="shared" si="0"/>
        <v>0</v>
      </c>
      <c r="M18" s="92">
        <v>0</v>
      </c>
      <c r="N18" s="171">
        <f>IF(I18&gt;0,'Comm Calc'!G3*'Comm Calc'!H3,0)</f>
        <v>0</v>
      </c>
      <c r="O18" s="94">
        <v>0</v>
      </c>
      <c r="P18" s="93">
        <v>0</v>
      </c>
      <c r="Q18" s="170">
        <f>IF(N18&gt;0,2,0)</f>
        <v>0</v>
      </c>
      <c r="R18" s="89" t="s">
        <v>26</v>
      </c>
      <c r="S18" s="5"/>
      <c r="T18" s="7"/>
      <c r="U18" s="7"/>
      <c r="V18" s="7"/>
      <c r="W18" s="7"/>
      <c r="X18" s="7"/>
      <c r="Y18" s="7"/>
      <c r="Z18" s="7"/>
      <c r="AA18" s="7"/>
      <c r="KU18"/>
      <c r="KV18"/>
      <c r="KW18"/>
      <c r="KX18"/>
      <c r="KY18"/>
      <c r="KZ18"/>
      <c r="LA18"/>
      <c r="LB18"/>
    </row>
    <row r="19" spans="1:314" x14ac:dyDescent="0.25">
      <c r="A19" s="7"/>
      <c r="B19" s="97"/>
      <c r="C19" s="97"/>
      <c r="D19" s="88" t="s">
        <v>26</v>
      </c>
      <c r="E19" s="89" t="s">
        <v>26</v>
      </c>
      <c r="F19" s="89"/>
      <c r="G19" s="90" t="s">
        <v>26</v>
      </c>
      <c r="H19" s="95">
        <v>0</v>
      </c>
      <c r="I19" s="91">
        <v>0</v>
      </c>
      <c r="J19" s="184"/>
      <c r="K19" s="91" t="s">
        <v>26</v>
      </c>
      <c r="L19" s="170">
        <f t="shared" si="0"/>
        <v>0</v>
      </c>
      <c r="M19" s="92">
        <v>0</v>
      </c>
      <c r="N19" s="171">
        <f>IF(I19&gt;0,"='Comm Calc'!F4*'Comm Calc'!G4",0)</f>
        <v>0</v>
      </c>
      <c r="O19" s="94">
        <v>0</v>
      </c>
      <c r="P19" s="93">
        <v>0</v>
      </c>
      <c r="Q19" s="170">
        <f>IF(N19&gt;0,3,0)</f>
        <v>0</v>
      </c>
      <c r="R19" s="89"/>
      <c r="S19" s="5"/>
      <c r="T19" s="7"/>
      <c r="U19" s="7"/>
      <c r="V19" s="7"/>
      <c r="W19" s="7"/>
      <c r="X19" s="7"/>
      <c r="Y19" s="7"/>
      <c r="Z19" s="7"/>
      <c r="AA19" s="7"/>
      <c r="KU19"/>
      <c r="KV19"/>
      <c r="KW19"/>
      <c r="KX19"/>
      <c r="KY19"/>
      <c r="KZ19"/>
      <c r="LA19"/>
      <c r="LB19"/>
    </row>
    <row r="20" spans="1:314" x14ac:dyDescent="0.25">
      <c r="A20" s="7"/>
      <c r="B20" s="97"/>
      <c r="C20" s="97"/>
      <c r="D20" s="88" t="s">
        <v>26</v>
      </c>
      <c r="E20" s="89" t="s">
        <v>26</v>
      </c>
      <c r="F20" s="89"/>
      <c r="G20" s="90" t="s">
        <v>26</v>
      </c>
      <c r="H20" s="95">
        <v>0</v>
      </c>
      <c r="I20" s="91">
        <v>0</v>
      </c>
      <c r="J20" s="184"/>
      <c r="K20" s="91"/>
      <c r="L20" s="170">
        <f t="shared" si="0"/>
        <v>0</v>
      </c>
      <c r="M20" s="92">
        <v>0</v>
      </c>
      <c r="N20" s="171">
        <f>IF(I20&gt;0,"='Comm Calc'!F5*'Comm Calc'!G5",0)</f>
        <v>0</v>
      </c>
      <c r="O20" s="94">
        <v>0</v>
      </c>
      <c r="P20" s="93">
        <v>0</v>
      </c>
      <c r="Q20" s="170">
        <f>IF(N20&gt;0,4,0)</f>
        <v>0</v>
      </c>
      <c r="R20" s="89"/>
      <c r="S20" s="5"/>
      <c r="T20" s="7"/>
      <c r="U20" s="7"/>
      <c r="V20" s="7"/>
      <c r="W20" s="7"/>
      <c r="X20" s="7"/>
      <c r="Y20" s="7"/>
      <c r="Z20" s="7"/>
      <c r="AA20" s="7"/>
      <c r="KU20"/>
      <c r="KV20"/>
      <c r="KW20"/>
      <c r="KX20"/>
      <c r="KY20"/>
      <c r="KZ20"/>
      <c r="LA20"/>
      <c r="LB20"/>
    </row>
    <row r="21" spans="1:314" x14ac:dyDescent="0.25">
      <c r="A21" s="7"/>
      <c r="B21" s="97"/>
      <c r="C21" s="97"/>
      <c r="D21" s="88" t="s">
        <v>26</v>
      </c>
      <c r="E21" s="89" t="s">
        <v>26</v>
      </c>
      <c r="F21" s="89"/>
      <c r="G21" s="90" t="s">
        <v>26</v>
      </c>
      <c r="H21" s="95">
        <v>0</v>
      </c>
      <c r="I21" s="91">
        <v>0</v>
      </c>
      <c r="J21" s="184"/>
      <c r="K21" s="91"/>
      <c r="L21" s="170">
        <f t="shared" si="0"/>
        <v>0</v>
      </c>
      <c r="M21" s="92">
        <v>0</v>
      </c>
      <c r="N21" s="171">
        <f>IF(I21&gt;0,"='Comm Calc'!F6*'Comm Calc'!G6",0)</f>
        <v>0</v>
      </c>
      <c r="O21" s="94">
        <v>0</v>
      </c>
      <c r="P21" s="93">
        <v>0</v>
      </c>
      <c r="Q21" s="170">
        <f>IF(N21&gt;0,5,0)</f>
        <v>0</v>
      </c>
      <c r="R21" s="89"/>
      <c r="S21" s="5"/>
      <c r="T21" s="7"/>
      <c r="U21" s="7"/>
      <c r="V21" s="7"/>
      <c r="W21" s="7"/>
      <c r="X21" s="7"/>
      <c r="Y21" s="7"/>
      <c r="Z21" s="7"/>
      <c r="AA21" s="7"/>
      <c r="KU21"/>
      <c r="KV21"/>
      <c r="KW21"/>
      <c r="KX21"/>
      <c r="KY21"/>
      <c r="KZ21"/>
      <c r="LA21"/>
      <c r="LB21"/>
    </row>
    <row r="22" spans="1:314" x14ac:dyDescent="0.25">
      <c r="A22" s="7"/>
      <c r="B22" s="97"/>
      <c r="C22" s="97"/>
      <c r="D22" s="11" t="s">
        <v>26</v>
      </c>
      <c r="E22" s="1" t="s">
        <v>26</v>
      </c>
      <c r="F22" s="1"/>
      <c r="G22" s="17" t="s">
        <v>26</v>
      </c>
      <c r="H22" s="12">
        <v>0</v>
      </c>
      <c r="I22" s="13">
        <v>0</v>
      </c>
      <c r="J22" s="185"/>
      <c r="K22" s="13"/>
      <c r="L22" s="1">
        <f t="shared" si="0"/>
        <v>0</v>
      </c>
      <c r="M22" s="96">
        <v>0</v>
      </c>
      <c r="N22" s="14">
        <f>IF(I22&gt;0,'Comm Calc'!G7*'Comm Calc'!H7,0)</f>
        <v>0</v>
      </c>
      <c r="O22" s="16">
        <v>0</v>
      </c>
      <c r="P22" s="15">
        <v>0</v>
      </c>
      <c r="Q22" s="1">
        <f>IF(N22&gt;0,6,0)</f>
        <v>0</v>
      </c>
      <c r="R22" s="1"/>
      <c r="S22" s="97"/>
      <c r="T22" s="7"/>
      <c r="U22" s="7"/>
      <c r="V22" s="7"/>
      <c r="W22" s="7"/>
      <c r="X22" s="7"/>
      <c r="Y22" s="7"/>
      <c r="Z22" s="7"/>
      <c r="AA22" s="7"/>
      <c r="KU22"/>
      <c r="KV22"/>
      <c r="KW22"/>
      <c r="KX22"/>
      <c r="KY22"/>
      <c r="KZ22"/>
      <c r="LA22"/>
      <c r="LB22"/>
    </row>
    <row r="23" spans="1:314" x14ac:dyDescent="0.25">
      <c r="A23" s="7"/>
      <c r="B23" s="97"/>
      <c r="C23" s="97"/>
      <c r="D23" s="11" t="s">
        <v>26</v>
      </c>
      <c r="E23" s="1" t="s">
        <v>26</v>
      </c>
      <c r="F23" s="1"/>
      <c r="G23" s="17" t="s">
        <v>26</v>
      </c>
      <c r="H23" s="12">
        <v>0</v>
      </c>
      <c r="I23" s="13">
        <v>0</v>
      </c>
      <c r="J23" s="185"/>
      <c r="K23" s="13"/>
      <c r="L23" s="1">
        <f t="shared" ref="L23:L29" si="1">IF(H23&gt;0,"Decimal2",0)</f>
        <v>0</v>
      </c>
      <c r="M23" s="96">
        <v>0</v>
      </c>
      <c r="N23" s="14">
        <f>IF(I23&gt;0,'Comm Calc'!G8*'Comm Calc'!H8,0)</f>
        <v>0</v>
      </c>
      <c r="O23" s="16">
        <v>0</v>
      </c>
      <c r="P23" s="15">
        <v>0</v>
      </c>
      <c r="Q23" s="1">
        <f>IF(N23&gt;0,7,0)</f>
        <v>0</v>
      </c>
      <c r="R23" s="1"/>
      <c r="S23" s="97"/>
      <c r="T23" s="83"/>
      <c r="U23" s="7"/>
      <c r="V23" s="7"/>
      <c r="W23" s="7"/>
      <c r="X23" s="7"/>
      <c r="Y23" s="7"/>
      <c r="Z23" s="7"/>
      <c r="AA23" s="7"/>
      <c r="KU23"/>
      <c r="KV23"/>
      <c r="KW23"/>
      <c r="KX23"/>
      <c r="KY23"/>
      <c r="KZ23"/>
      <c r="LA23"/>
      <c r="LB23"/>
    </row>
    <row r="24" spans="1:314" x14ac:dyDescent="0.25">
      <c r="A24" s="7"/>
      <c r="B24" s="97"/>
      <c r="C24" s="97"/>
      <c r="D24" s="11" t="s">
        <v>26</v>
      </c>
      <c r="E24" s="1" t="s">
        <v>26</v>
      </c>
      <c r="F24" s="1"/>
      <c r="G24" s="17" t="s">
        <v>26</v>
      </c>
      <c r="H24" s="12">
        <v>0</v>
      </c>
      <c r="I24" s="13">
        <v>0</v>
      </c>
      <c r="J24" s="185"/>
      <c r="K24" s="13"/>
      <c r="L24" s="1">
        <f t="shared" si="1"/>
        <v>0</v>
      </c>
      <c r="M24" s="96">
        <v>0</v>
      </c>
      <c r="N24" s="14">
        <f>IF(I24&gt;0,'Comm Calc'!G9*'Comm Calc'!H9,0)</f>
        <v>0</v>
      </c>
      <c r="O24" s="16">
        <v>0</v>
      </c>
      <c r="P24" s="15">
        <v>0</v>
      </c>
      <c r="Q24" s="1">
        <f>IF(N24&gt;0,8,0)</f>
        <v>0</v>
      </c>
      <c r="R24" s="1"/>
      <c r="S24" s="97"/>
      <c r="T24" s="83"/>
      <c r="U24" s="7"/>
      <c r="V24" s="7"/>
      <c r="W24" s="7"/>
      <c r="X24" s="7"/>
      <c r="Y24" s="7"/>
      <c r="Z24" s="7"/>
      <c r="AA24" s="7"/>
      <c r="KU24"/>
      <c r="KV24"/>
      <c r="KW24"/>
      <c r="KX24"/>
      <c r="KY24"/>
      <c r="KZ24"/>
      <c r="LA24"/>
      <c r="LB24"/>
    </row>
    <row r="25" spans="1:314" x14ac:dyDescent="0.25">
      <c r="A25" s="7"/>
      <c r="B25" s="97"/>
      <c r="C25" s="97"/>
      <c r="D25" s="11" t="s">
        <v>26</v>
      </c>
      <c r="E25" s="1" t="s">
        <v>26</v>
      </c>
      <c r="F25" s="1"/>
      <c r="G25" s="17" t="s">
        <v>26</v>
      </c>
      <c r="H25" s="12">
        <v>0</v>
      </c>
      <c r="I25" s="13">
        <v>0</v>
      </c>
      <c r="J25" s="185"/>
      <c r="K25" s="13"/>
      <c r="L25" s="1">
        <f t="shared" si="1"/>
        <v>0</v>
      </c>
      <c r="M25" s="96">
        <v>0</v>
      </c>
      <c r="N25" s="14">
        <f>IF(I25&gt;0,'Comm Calc'!G10*'Comm Calc'!H10,0)</f>
        <v>0</v>
      </c>
      <c r="O25" s="16">
        <v>0</v>
      </c>
      <c r="P25" s="15">
        <v>0</v>
      </c>
      <c r="Q25" s="1">
        <f>IF(N25&gt;0,9,0)</f>
        <v>0</v>
      </c>
      <c r="R25" s="1"/>
      <c r="S25" s="97"/>
      <c r="T25" s="83"/>
      <c r="U25" s="7"/>
      <c r="V25" s="7"/>
      <c r="W25" s="7"/>
      <c r="X25" s="7"/>
      <c r="Y25" s="7"/>
      <c r="Z25" s="7"/>
      <c r="AA25" s="7"/>
      <c r="KU25"/>
      <c r="KV25"/>
      <c r="KW25"/>
      <c r="KX25"/>
      <c r="KY25"/>
      <c r="KZ25"/>
      <c r="LA25"/>
      <c r="LB25"/>
    </row>
    <row r="26" spans="1:314" x14ac:dyDescent="0.25">
      <c r="A26" s="7"/>
      <c r="B26" s="2"/>
      <c r="C26" s="2"/>
      <c r="D26" s="11" t="s">
        <v>26</v>
      </c>
      <c r="E26" s="1" t="s">
        <v>26</v>
      </c>
      <c r="F26" s="1"/>
      <c r="G26" s="17" t="s">
        <v>26</v>
      </c>
      <c r="H26" s="12">
        <v>0</v>
      </c>
      <c r="I26" s="13">
        <v>0</v>
      </c>
      <c r="J26" s="185"/>
      <c r="K26" s="13"/>
      <c r="L26" s="1">
        <f t="shared" si="1"/>
        <v>0</v>
      </c>
      <c r="M26" s="96">
        <v>0</v>
      </c>
      <c r="N26" s="14">
        <f>IF(I26&gt;0,'Comm Calc'!G11*'Comm Calc'!H11,0)</f>
        <v>0</v>
      </c>
      <c r="O26" s="16">
        <v>0</v>
      </c>
      <c r="P26" s="15">
        <v>0</v>
      </c>
      <c r="Q26" s="1">
        <f>IF(N26&gt;0,10,0)</f>
        <v>0</v>
      </c>
      <c r="R26" s="1"/>
      <c r="S26" s="2"/>
      <c r="T26" s="7"/>
      <c r="U26" s="7"/>
      <c r="V26" s="7"/>
      <c r="W26" s="7"/>
      <c r="X26" s="7"/>
      <c r="Y26" s="7"/>
      <c r="Z26" s="7"/>
      <c r="AA26" s="7"/>
      <c r="KU26"/>
      <c r="KV26"/>
      <c r="KW26"/>
      <c r="KX26"/>
      <c r="KY26"/>
      <c r="KZ26"/>
      <c r="LA26"/>
      <c r="LB26"/>
    </row>
    <row r="27" spans="1:314" x14ac:dyDescent="0.25">
      <c r="A27" s="7"/>
      <c r="B27" s="2"/>
      <c r="C27" s="2"/>
      <c r="D27" s="11" t="s">
        <v>26</v>
      </c>
      <c r="E27" s="1" t="s">
        <v>26</v>
      </c>
      <c r="F27" s="1"/>
      <c r="G27" s="17" t="s">
        <v>26</v>
      </c>
      <c r="H27" s="12">
        <v>0</v>
      </c>
      <c r="I27" s="13">
        <v>0</v>
      </c>
      <c r="J27" s="185"/>
      <c r="K27" s="13"/>
      <c r="L27" s="1">
        <f t="shared" si="1"/>
        <v>0</v>
      </c>
      <c r="M27" s="96">
        <v>0</v>
      </c>
      <c r="N27" s="14">
        <f>IF(I27&gt;0,'Comm Calc'!G12*'Comm Calc'!H12,0)</f>
        <v>0</v>
      </c>
      <c r="O27" s="16">
        <v>0</v>
      </c>
      <c r="P27" s="15">
        <v>0</v>
      </c>
      <c r="Q27" s="1">
        <f>IF(N27&gt;0,11,0)</f>
        <v>0</v>
      </c>
      <c r="R27" s="1"/>
      <c r="S27" s="2"/>
      <c r="T27" s="7"/>
      <c r="U27" s="7"/>
      <c r="V27" s="7"/>
      <c r="W27" s="7"/>
      <c r="X27" s="7"/>
      <c r="Y27" s="7"/>
      <c r="Z27" s="7"/>
      <c r="AA27" s="7"/>
      <c r="KU27"/>
      <c r="KV27"/>
      <c r="KW27"/>
      <c r="KX27"/>
      <c r="KY27"/>
      <c r="KZ27"/>
      <c r="LA27"/>
      <c r="LB27"/>
    </row>
    <row r="28" spans="1:314" x14ac:dyDescent="0.25">
      <c r="A28" s="7"/>
      <c r="B28" s="2"/>
      <c r="C28" s="2"/>
      <c r="D28" s="11" t="s">
        <v>26</v>
      </c>
      <c r="E28" s="1" t="s">
        <v>26</v>
      </c>
      <c r="F28" s="1"/>
      <c r="G28" s="17" t="s">
        <v>26</v>
      </c>
      <c r="H28" s="12">
        <v>0</v>
      </c>
      <c r="I28" s="13">
        <v>0</v>
      </c>
      <c r="J28" s="185"/>
      <c r="K28" s="13"/>
      <c r="L28" s="1">
        <f t="shared" si="1"/>
        <v>0</v>
      </c>
      <c r="M28" s="96">
        <v>0</v>
      </c>
      <c r="N28" s="14">
        <f>IF(I28&gt;0,'Comm Calc'!G13*'Comm Calc'!H13,0)</f>
        <v>0</v>
      </c>
      <c r="O28" s="16">
        <v>0</v>
      </c>
      <c r="P28" s="15">
        <v>0</v>
      </c>
      <c r="Q28" s="1">
        <f>IF(N28&gt;0,12,0)</f>
        <v>0</v>
      </c>
      <c r="R28" s="1"/>
      <c r="S28" s="2"/>
      <c r="T28" s="7"/>
      <c r="U28" s="7"/>
      <c r="V28" s="7"/>
      <c r="W28" s="7"/>
      <c r="X28" s="7"/>
      <c r="Y28" s="7"/>
      <c r="Z28" s="7"/>
      <c r="AA28" s="7"/>
      <c r="KU28"/>
      <c r="KV28"/>
      <c r="KW28"/>
      <c r="KX28"/>
      <c r="KY28"/>
      <c r="KZ28"/>
      <c r="LA28"/>
      <c r="LB28"/>
    </row>
    <row r="29" spans="1:314" x14ac:dyDescent="0.25">
      <c r="A29" s="7"/>
      <c r="B29" s="2"/>
      <c r="C29" s="2"/>
      <c r="D29" s="11" t="s">
        <v>26</v>
      </c>
      <c r="E29" s="1" t="s">
        <v>26</v>
      </c>
      <c r="F29" s="1"/>
      <c r="G29" s="17" t="s">
        <v>26</v>
      </c>
      <c r="H29" s="12">
        <v>0</v>
      </c>
      <c r="I29" s="13">
        <v>0</v>
      </c>
      <c r="J29" s="185"/>
      <c r="K29" s="13"/>
      <c r="L29" s="1">
        <f t="shared" si="1"/>
        <v>0</v>
      </c>
      <c r="M29" s="96">
        <v>0</v>
      </c>
      <c r="N29" s="14">
        <f>IF(I29&gt;0,'Comm Calc'!G14*'Comm Calc'!H14,0)</f>
        <v>0</v>
      </c>
      <c r="O29" s="16">
        <v>0</v>
      </c>
      <c r="P29" s="15">
        <v>0</v>
      </c>
      <c r="Q29" s="1">
        <f>IF(N29&gt;0,13,0)</f>
        <v>0</v>
      </c>
      <c r="R29" s="1"/>
      <c r="S29" s="2"/>
      <c r="T29" s="7"/>
      <c r="U29" s="7"/>
      <c r="V29" s="7"/>
      <c r="W29" s="7"/>
      <c r="X29" s="7"/>
      <c r="Y29" s="7"/>
      <c r="Z29" s="7"/>
      <c r="AA29" s="7"/>
      <c r="KU29"/>
      <c r="KV29"/>
      <c r="KW29"/>
      <c r="KX29"/>
      <c r="KY29"/>
      <c r="KZ29"/>
      <c r="LA29"/>
      <c r="LB29"/>
    </row>
    <row r="30" spans="1:314" x14ac:dyDescent="0.25">
      <c r="A30" s="7"/>
      <c r="B30" s="2"/>
      <c r="C30" s="2"/>
      <c r="D30" s="11" t="s">
        <v>26</v>
      </c>
      <c r="E30" s="1" t="s">
        <v>26</v>
      </c>
      <c r="F30" s="1"/>
      <c r="G30" s="17" t="s">
        <v>26</v>
      </c>
      <c r="H30" s="12">
        <v>0</v>
      </c>
      <c r="I30" s="13">
        <v>0</v>
      </c>
      <c r="J30" s="185"/>
      <c r="K30" s="13"/>
      <c r="L30" s="1">
        <f>IF(H30&gt;0,"Decimal2",0)</f>
        <v>0</v>
      </c>
      <c r="M30" s="96">
        <v>0</v>
      </c>
      <c r="N30" s="14">
        <f>IF(I30&gt;0,'Comm Calc'!G15*'Comm Calc'!H15,0)</f>
        <v>0</v>
      </c>
      <c r="O30" s="16">
        <v>0</v>
      </c>
      <c r="P30" s="15">
        <v>0</v>
      </c>
      <c r="Q30" s="1">
        <f>IF(N30&gt;0,14,0)</f>
        <v>0</v>
      </c>
      <c r="R30" s="1"/>
      <c r="S30" s="1"/>
      <c r="T30" s="1"/>
      <c r="U30" s="1"/>
      <c r="V30" s="1"/>
      <c r="W30" s="1"/>
      <c r="X30" s="1"/>
      <c r="Y30" s="2"/>
      <c r="Z30" s="7"/>
      <c r="AA30" s="7"/>
      <c r="LA30"/>
      <c r="LB30"/>
    </row>
    <row r="31" spans="1:314" x14ac:dyDescent="0.25">
      <c r="A31" s="2"/>
      <c r="B31" s="2"/>
      <c r="C31" s="2"/>
      <c r="D31" s="2"/>
      <c r="E31" s="2"/>
      <c r="F31" s="2"/>
      <c r="G31" s="4" t="s">
        <v>26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314" x14ac:dyDescent="0.25">
      <c r="A32" s="2"/>
      <c r="B32" s="2"/>
      <c r="C32" s="2"/>
      <c r="D32" s="2"/>
      <c r="E32" s="2"/>
      <c r="F32" s="2"/>
      <c r="G32" s="4" t="s">
        <v>26</v>
      </c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5">
      <c r="A33" s="2"/>
      <c r="B33" s="2"/>
      <c r="C33" s="2"/>
      <c r="D33" s="2"/>
      <c r="E33" s="2"/>
      <c r="F33" s="2"/>
      <c r="G33" s="4" t="s">
        <v>26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2"/>
      <c r="B34" s="2"/>
      <c r="C34" s="2"/>
      <c r="D34" s="2"/>
      <c r="E34" s="2"/>
      <c r="F34" s="2"/>
      <c r="G34" s="4" t="s">
        <v>26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2"/>
      <c r="B35" s="2"/>
      <c r="C35" s="2"/>
      <c r="D35" s="2"/>
      <c r="E35" s="2"/>
      <c r="F35" s="2"/>
      <c r="G35" s="4" t="s">
        <v>26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5">
      <c r="A36" s="2"/>
      <c r="B36" s="2"/>
      <c r="C36" s="2"/>
      <c r="D36" s="2"/>
      <c r="E36" s="2"/>
      <c r="F36" s="2"/>
      <c r="G36" s="4" t="s">
        <v>26</v>
      </c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5">
      <c r="A37" s="2"/>
      <c r="B37" s="2"/>
      <c r="C37" s="2"/>
      <c r="D37" s="2"/>
      <c r="E37" s="2"/>
      <c r="F37" s="2"/>
      <c r="G37" s="4" t="s">
        <v>26</v>
      </c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2"/>
      <c r="B38" s="2"/>
      <c r="C38" s="2"/>
      <c r="D38" s="2"/>
      <c r="E38" s="2"/>
      <c r="F38" s="2"/>
      <c r="G38" s="2" t="s">
        <v>26</v>
      </c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5">
      <c r="A46" s="2"/>
      <c r="B46" s="2"/>
      <c r="C46" s="2"/>
      <c r="D46" s="2"/>
      <c r="E46" s="2"/>
      <c r="F46" s="97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5">
      <c r="A47" s="2"/>
      <c r="B47" s="2"/>
      <c r="C47" s="2"/>
      <c r="D47" s="2"/>
      <c r="E47" s="2"/>
      <c r="F47" s="97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5">
      <c r="A48" s="2"/>
      <c r="B48" s="2"/>
      <c r="C48" s="2"/>
      <c r="D48" s="2"/>
      <c r="E48" s="2"/>
      <c r="F48" s="97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5">
      <c r="A49" s="2"/>
      <c r="B49" s="2"/>
      <c r="C49" s="2"/>
      <c r="D49" s="2"/>
      <c r="E49" s="2"/>
      <c r="F49" s="97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5">
      <c r="A50" s="2"/>
      <c r="B50" s="2"/>
      <c r="C50" s="2"/>
      <c r="D50" s="2"/>
      <c r="E50" s="2"/>
      <c r="F50" s="97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5">
      <c r="A51" s="2"/>
      <c r="B51" s="2"/>
      <c r="C51" s="2"/>
      <c r="D51" s="2"/>
      <c r="E51" s="2"/>
      <c r="F51" s="97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5">
      <c r="A52" s="2"/>
      <c r="B52" s="2"/>
      <c r="C52" s="2"/>
      <c r="D52" s="2"/>
      <c r="E52" s="2"/>
      <c r="F52" s="97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5">
      <c r="A53" s="2"/>
      <c r="B53" s="2"/>
      <c r="C53" s="2"/>
      <c r="D53" s="2"/>
      <c r="E53" s="2"/>
      <c r="F53" s="97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5">
      <c r="A66" s="2"/>
      <c r="B66" s="2"/>
      <c r="C66" s="2"/>
      <c r="D66" s="2"/>
      <c r="E66" s="2"/>
      <c r="F66" s="2" t="s">
        <v>11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5">
      <c r="A67" s="2"/>
      <c r="B67" s="2"/>
      <c r="C67" s="2"/>
      <c r="D67" s="2"/>
      <c r="E67" s="2"/>
      <c r="F67" s="2" t="s">
        <v>12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>
        <v>0</v>
      </c>
      <c r="V100" s="2"/>
      <c r="W100" s="2"/>
      <c r="X100" s="2"/>
      <c r="Y100" s="2"/>
      <c r="Z100" s="2"/>
      <c r="AA100" s="2"/>
    </row>
    <row r="101" spans="1:27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1:27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1:27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1:27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1:27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1:27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1:27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1:27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1:27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1:27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1:27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1:27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1:27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1:27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1:27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1:27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1:27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1:27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1:27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1:27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1:27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1:27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1:27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1:27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1:27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1:27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1:27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1:27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1:27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1:27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1:27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1:27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1:27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1:27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1:27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1:27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1:27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1:27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1:27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1:27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1:27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1:27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1:27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1:27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1:27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1:27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1:27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1:27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1:27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1:27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1:27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1:27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1:27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1:27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1:27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1:27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1:27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1:27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1:27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1:27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1:27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1:27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1:27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1:27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1:27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1:27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1:27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1:27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1:27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1:27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1:27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1:27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1:27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1:27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1:27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1:27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1:27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1:27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1:27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1:27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1:27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1:27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1:27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1:27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1:27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1:27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1:27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1:27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1:27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1:27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1:27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1:27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1:27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1:27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1:27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1:27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1:27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1:27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1:27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1:27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1:27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1:27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1:27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1:27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1:27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1:27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1:27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1:27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1:27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1:27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1:27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1:27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1:27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1:27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1:27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1:27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1:27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1:27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1:27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1:27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1:27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1:27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1:27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1:27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1:27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1:27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 t="s">
        <v>22</v>
      </c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1:27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 t="s">
        <v>20</v>
      </c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1:27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 t="s">
        <v>21</v>
      </c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1:27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 t="s">
        <v>23</v>
      </c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1:27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 t="s">
        <v>24</v>
      </c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</sheetData>
  <mergeCells count="1">
    <mergeCell ref="M3:N3"/>
  </mergeCells>
  <conditionalFormatting sqref="Q8">
    <cfRule type="expression" dxfId="14" priority="4">
      <formula>"$F$19=""???"""</formula>
    </cfRule>
    <cfRule type="containsText" dxfId="13" priority="5" operator="containsText" text="SELL">
      <formula>NOT(ISERROR(SEARCH("SELL",Q8)))</formula>
    </cfRule>
    <cfRule type="containsText" dxfId="12" priority="6" operator="containsText" text="BUY">
      <formula>NOT(ISERROR(SEARCH("BUY",Q8)))</formula>
    </cfRule>
  </conditionalFormatting>
  <conditionalFormatting sqref="R30:X30 Q17:R22 R23:R29 Q23:Q30 D17:P30">
    <cfRule type="expression" dxfId="11" priority="7">
      <formula>$D17="??"</formula>
    </cfRule>
  </conditionalFormatting>
  <conditionalFormatting sqref="O8">
    <cfRule type="expression" dxfId="10" priority="1">
      <formula>"$F$19=""???"""</formula>
    </cfRule>
    <cfRule type="containsText" dxfId="9" priority="2" operator="containsText" text="SELL">
      <formula>NOT(ISERROR(SEARCH("SELL",O8)))</formula>
    </cfRule>
    <cfRule type="containsText" dxfId="8" priority="3" operator="containsText" text="BUY">
      <formula>NOT(ISERROR(SEARCH("BUY",O8)))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span" xr2:uid="{00000000-0003-0000-0500-000005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Corp!M4:M4</xm:f>
              <xm:sqref>N4</xm:sqref>
            </x14:sparkline>
            <x14:sparkline>
              <xm:f>Corp!M5:M5</xm:f>
              <xm:sqref>N5</xm:sqref>
            </x14:sparkline>
          </x14:sparklines>
        </x14:sparklineGroup>
        <x14:sparklineGroup manualMax="0" manualMin="0" type="column" displayEmptyCellsAs="span" xr2:uid="{00000000-0003-0000-0500-000004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Corp!O4:O4</xm:f>
              <xm:sqref>P4</xm:sqref>
            </x14:sparkline>
            <x14:sparkline>
              <xm:f>Corp!O5:O5</xm:f>
              <xm:sqref>P5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LC303"/>
  <sheetViews>
    <sheetView workbookViewId="0">
      <selection activeCell="L18" sqref="L18"/>
    </sheetView>
  </sheetViews>
  <sheetFormatPr defaultRowHeight="15" customHeight="1" x14ac:dyDescent="0.25"/>
  <cols>
    <col min="1" max="1" width="1.5703125" customWidth="1"/>
    <col min="2" max="2" width="0.42578125" customWidth="1"/>
    <col min="3" max="3" width="6.28515625" customWidth="1"/>
    <col min="4" max="4" width="9.5703125" customWidth="1"/>
    <col min="5" max="5" width="11.28515625" customWidth="1"/>
    <col min="6" max="6" width="9" customWidth="1"/>
    <col min="7" max="7" width="10.28515625" customWidth="1"/>
    <col min="8" max="8" width="14.42578125" customWidth="1"/>
    <col min="9" max="9" width="10.7109375" customWidth="1"/>
    <col min="10" max="10" width="9.42578125" customWidth="1"/>
    <col min="11" max="11" width="8.42578125" customWidth="1"/>
    <col min="13" max="13" width="11.7109375" customWidth="1"/>
    <col min="14" max="14" width="13" customWidth="1"/>
    <col min="15" max="15" width="12" customWidth="1"/>
    <col min="16" max="16" width="11.28515625" customWidth="1"/>
    <col min="17" max="17" width="10.140625" customWidth="1"/>
    <col min="18" max="18" width="12.140625" customWidth="1"/>
    <col min="20" max="20" width="4.140625" customWidth="1"/>
    <col min="21" max="21" width="4" customWidth="1"/>
    <col min="22" max="22" width="3.85546875" customWidth="1"/>
    <col min="23" max="23" width="3.42578125" customWidth="1"/>
    <col min="24" max="24" width="3.85546875" customWidth="1"/>
    <col min="25" max="25" width="4.140625" customWidth="1"/>
    <col min="26" max="26" width="9.42578125" customWidth="1"/>
    <col min="27" max="27" width="0.7109375" customWidth="1"/>
    <col min="28" max="314" width="9.140625" style="7"/>
  </cols>
  <sheetData>
    <row r="1" spans="1:315" ht="15.75" thickBot="1" x14ac:dyDescent="0.3">
      <c r="A1" s="97"/>
      <c r="B1" s="9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97"/>
      <c r="Q1" s="97"/>
      <c r="R1" s="97"/>
      <c r="S1" s="97"/>
      <c r="T1" s="2"/>
      <c r="U1" s="2"/>
      <c r="V1" s="2"/>
      <c r="W1" s="2"/>
      <c r="X1" s="2"/>
      <c r="Y1" s="2"/>
      <c r="Z1" s="2"/>
      <c r="AA1" s="2"/>
    </row>
    <row r="2" spans="1:315" ht="15.75" thickBot="1" x14ac:dyDescent="0.3">
      <c r="A2" s="97"/>
      <c r="B2" s="150"/>
      <c r="C2" s="196"/>
      <c r="D2" s="188"/>
      <c r="E2" s="188"/>
      <c r="F2" s="188"/>
      <c r="G2" s="188"/>
      <c r="H2" s="188"/>
      <c r="I2" s="188"/>
      <c r="J2" s="189"/>
      <c r="K2" s="2"/>
      <c r="L2" s="196" t="s">
        <v>35</v>
      </c>
      <c r="M2" s="188"/>
      <c r="N2" s="189"/>
      <c r="O2" s="97"/>
      <c r="P2" s="97"/>
      <c r="Q2" s="97"/>
      <c r="R2" s="97"/>
      <c r="S2" s="2"/>
      <c r="T2" s="2"/>
      <c r="U2" s="2"/>
      <c r="V2" s="2"/>
      <c r="W2" s="2"/>
      <c r="X2" s="2"/>
      <c r="Y2" s="2"/>
      <c r="Z2" s="7"/>
      <c r="AA2" s="7"/>
      <c r="LA2"/>
      <c r="LB2"/>
    </row>
    <row r="3" spans="1:315" ht="15.75" thickBot="1" x14ac:dyDescent="0.3">
      <c r="A3" s="97"/>
      <c r="B3" s="97"/>
      <c r="C3" s="190"/>
      <c r="D3" s="150" t="s">
        <v>14</v>
      </c>
      <c r="E3" s="206" t="s">
        <v>41</v>
      </c>
      <c r="F3" s="158"/>
      <c r="G3" s="97"/>
      <c r="H3" s="97"/>
      <c r="I3" s="97"/>
      <c r="J3" s="191"/>
      <c r="K3" s="2"/>
      <c r="L3" s="202" t="s">
        <v>2</v>
      </c>
      <c r="M3" s="307" t="s">
        <v>36</v>
      </c>
      <c r="N3" s="308"/>
      <c r="O3" s="97"/>
      <c r="P3" s="150"/>
      <c r="Q3" s="97"/>
      <c r="R3" s="97"/>
      <c r="S3" s="2"/>
      <c r="T3" s="2"/>
      <c r="U3" s="2"/>
      <c r="V3" s="2"/>
      <c r="W3" s="2"/>
      <c r="X3" s="2"/>
      <c r="Y3" s="2"/>
      <c r="Z3" s="7"/>
      <c r="AA3" s="7"/>
      <c r="LA3"/>
      <c r="LB3"/>
    </row>
    <row r="4" spans="1:315" x14ac:dyDescent="0.25">
      <c r="A4" s="97"/>
      <c r="B4" s="97"/>
      <c r="C4" s="190"/>
      <c r="D4" s="97"/>
      <c r="E4" s="97"/>
      <c r="F4" s="97"/>
      <c r="G4" s="97"/>
      <c r="H4" s="97"/>
      <c r="I4" s="97"/>
      <c r="J4" s="191"/>
      <c r="K4" s="2"/>
      <c r="L4" s="197" t="s">
        <v>26</v>
      </c>
      <c r="M4" s="166" t="s">
        <v>26</v>
      </c>
      <c r="N4" s="198" t="s">
        <v>26</v>
      </c>
      <c r="O4" s="2"/>
      <c r="P4" s="207" t="s">
        <v>26</v>
      </c>
      <c r="Q4" s="2"/>
      <c r="R4" s="2"/>
      <c r="S4" s="2"/>
      <c r="T4" s="2"/>
      <c r="U4" s="2"/>
      <c r="V4" s="2"/>
      <c r="W4" s="2"/>
      <c r="X4" s="2"/>
      <c r="Y4" s="2"/>
      <c r="Z4" s="7"/>
      <c r="AA4" s="7"/>
      <c r="LA4"/>
      <c r="LB4"/>
    </row>
    <row r="5" spans="1:315" ht="15.75" thickBot="1" x14ac:dyDescent="0.3">
      <c r="A5" s="97"/>
      <c r="B5" s="97"/>
      <c r="C5" s="190"/>
      <c r="D5" s="97"/>
      <c r="E5" s="97"/>
      <c r="F5" s="97"/>
      <c r="G5" s="97"/>
      <c r="H5" s="97"/>
      <c r="I5" s="97"/>
      <c r="J5" s="191"/>
      <c r="K5" s="97"/>
      <c r="L5" s="199" t="s">
        <v>26</v>
      </c>
      <c r="M5" s="82" t="s">
        <v>26</v>
      </c>
      <c r="N5" s="198" t="s">
        <v>26</v>
      </c>
      <c r="O5" s="2"/>
      <c r="P5" s="207" t="s">
        <v>26</v>
      </c>
      <c r="Q5" s="2"/>
      <c r="R5" s="2"/>
      <c r="S5" s="2"/>
      <c r="T5" s="2"/>
      <c r="U5" s="2"/>
      <c r="V5" s="2"/>
      <c r="W5" s="2"/>
      <c r="X5" s="2"/>
      <c r="Y5" s="2"/>
      <c r="Z5" s="7"/>
      <c r="AA5" s="7"/>
      <c r="LA5"/>
      <c r="LB5"/>
    </row>
    <row r="6" spans="1:315" ht="15.75" thickBot="1" x14ac:dyDescent="0.3">
      <c r="A6" s="97"/>
      <c r="B6" s="97"/>
      <c r="C6" s="190"/>
      <c r="D6" s="150" t="s">
        <v>15</v>
      </c>
      <c r="E6" s="161" t="s">
        <v>26</v>
      </c>
      <c r="F6" s="150"/>
      <c r="G6" s="97"/>
      <c r="H6" s="97"/>
      <c r="I6" s="97"/>
      <c r="J6" s="191"/>
      <c r="K6" s="6"/>
      <c r="L6" s="199"/>
      <c r="M6" s="82"/>
      <c r="N6" s="200"/>
      <c r="O6" s="2"/>
      <c r="P6" s="207"/>
      <c r="Q6" s="2"/>
      <c r="R6" s="2"/>
      <c r="S6" s="2"/>
      <c r="T6" s="2"/>
      <c r="U6" s="2"/>
      <c r="V6" s="2"/>
      <c r="W6" s="2"/>
      <c r="X6" s="2"/>
      <c r="Y6" s="2"/>
      <c r="Z6" s="7"/>
      <c r="AA6" s="7"/>
      <c r="LA6"/>
      <c r="LB6"/>
    </row>
    <row r="7" spans="1:315" ht="15.75" thickBot="1" x14ac:dyDescent="0.3">
      <c r="A7" s="97"/>
      <c r="B7" s="97"/>
      <c r="C7" s="190"/>
      <c r="D7" s="97"/>
      <c r="E7" s="97" t="s">
        <v>26</v>
      </c>
      <c r="F7" s="97"/>
      <c r="G7" s="97"/>
      <c r="H7" s="97"/>
      <c r="I7" s="97"/>
      <c r="J7" s="191"/>
      <c r="K7" s="6"/>
      <c r="L7" s="201"/>
      <c r="M7" s="194"/>
      <c r="N7" s="195"/>
      <c r="O7" s="2"/>
      <c r="P7" s="97"/>
      <c r="Q7" s="2"/>
      <c r="R7" s="2"/>
      <c r="S7" s="2"/>
      <c r="T7" s="2"/>
      <c r="U7" s="2"/>
      <c r="V7" s="2"/>
      <c r="W7" s="2"/>
      <c r="X7" s="2"/>
      <c r="Y7" s="2"/>
      <c r="Z7" s="7"/>
      <c r="AA7" s="7"/>
      <c r="LA7"/>
      <c r="LB7"/>
    </row>
    <row r="8" spans="1:315" ht="15.75" thickBot="1" x14ac:dyDescent="0.3">
      <c r="A8" s="97"/>
      <c r="B8" s="97"/>
      <c r="C8" s="190"/>
      <c r="D8" s="97" t="s">
        <v>81</v>
      </c>
      <c r="E8" s="162" t="s">
        <v>26</v>
      </c>
      <c r="F8" s="159"/>
      <c r="G8" s="165" t="s">
        <v>16</v>
      </c>
      <c r="H8" s="157" t="s">
        <v>26</v>
      </c>
      <c r="I8" s="150"/>
      <c r="J8" s="192"/>
      <c r="K8" s="97"/>
      <c r="L8" s="97"/>
      <c r="M8" s="97"/>
      <c r="N8" s="2"/>
      <c r="O8" s="2"/>
      <c r="P8" s="97"/>
      <c r="Q8" s="2"/>
      <c r="R8" s="2"/>
      <c r="S8" s="2"/>
      <c r="T8" s="97"/>
      <c r="U8" s="2"/>
      <c r="V8" s="2"/>
      <c r="W8" s="97"/>
      <c r="X8" s="2"/>
      <c r="Y8" s="2"/>
      <c r="Z8" s="7"/>
      <c r="AA8" s="7"/>
      <c r="LA8"/>
      <c r="LB8"/>
    </row>
    <row r="9" spans="1:315" ht="15.75" thickBot="1" x14ac:dyDescent="0.3">
      <c r="A9" s="97"/>
      <c r="B9" s="97"/>
      <c r="C9" s="190"/>
      <c r="D9" s="97"/>
      <c r="E9" s="97" t="s">
        <v>26</v>
      </c>
      <c r="F9" s="97"/>
      <c r="G9" s="153"/>
      <c r="H9" s="97" t="s">
        <v>26</v>
      </c>
      <c r="I9" s="97"/>
      <c r="J9" s="192"/>
      <c r="K9" s="97"/>
      <c r="L9" s="2"/>
      <c r="M9" s="2"/>
      <c r="N9" s="2"/>
      <c r="O9" s="2"/>
      <c r="P9" s="97"/>
      <c r="Q9" s="2"/>
      <c r="R9" s="2"/>
      <c r="S9" s="2"/>
      <c r="T9" s="2"/>
      <c r="U9" s="2"/>
      <c r="V9" s="2"/>
      <c r="W9" s="2"/>
      <c r="X9" s="2"/>
      <c r="Y9" s="2"/>
      <c r="Z9" s="7"/>
      <c r="AA9" s="7"/>
      <c r="LA9"/>
      <c r="LB9"/>
    </row>
    <row r="10" spans="1:315" ht="15.75" thickBot="1" x14ac:dyDescent="0.3">
      <c r="A10" s="97"/>
      <c r="B10" s="97"/>
      <c r="C10" s="190"/>
      <c r="D10" s="97" t="s">
        <v>38</v>
      </c>
      <c r="E10" s="163" t="s">
        <v>26</v>
      </c>
      <c r="F10" s="160"/>
      <c r="G10" s="165" t="s">
        <v>17</v>
      </c>
      <c r="H10" s="164" t="s">
        <v>26</v>
      </c>
      <c r="I10" s="154"/>
      <c r="J10" s="192"/>
      <c r="K10" s="97"/>
      <c r="L10" s="2" t="s">
        <v>26</v>
      </c>
      <c r="M10" s="2" t="s">
        <v>37</v>
      </c>
      <c r="N10" s="181">
        <f ca="1">TODAY()</f>
        <v>43732</v>
      </c>
      <c r="O10" s="156"/>
      <c r="P10" s="208" t="s">
        <v>26</v>
      </c>
      <c r="Q10" s="156"/>
      <c r="R10" s="2"/>
      <c r="S10" s="2"/>
      <c r="T10" s="2"/>
      <c r="U10" s="2"/>
      <c r="V10" s="2"/>
      <c r="W10" s="2"/>
      <c r="X10" s="2"/>
      <c r="Y10" s="2"/>
      <c r="Z10" s="2"/>
      <c r="AA10" s="7"/>
      <c r="LB10"/>
    </row>
    <row r="11" spans="1:315" ht="15.75" thickBot="1" x14ac:dyDescent="0.3">
      <c r="A11" s="97"/>
      <c r="B11" s="97"/>
      <c r="C11" s="193"/>
      <c r="D11" s="194"/>
      <c r="E11" s="194"/>
      <c r="F11" s="194"/>
      <c r="G11" s="194"/>
      <c r="H11" s="194"/>
      <c r="I11" s="194"/>
      <c r="J11" s="195"/>
      <c r="K11" s="3"/>
      <c r="L11" s="2"/>
      <c r="M11" s="2"/>
      <c r="N11" s="2"/>
      <c r="O11" s="2"/>
      <c r="P11" s="97"/>
      <c r="Q11" s="97"/>
      <c r="R11" s="2"/>
      <c r="S11" s="2"/>
      <c r="T11" s="2"/>
      <c r="U11" s="2"/>
      <c r="V11" s="2"/>
      <c r="W11" s="97"/>
      <c r="X11" s="2"/>
      <c r="Y11" s="2"/>
      <c r="Z11" s="2"/>
      <c r="AA11" s="7"/>
      <c r="LB11"/>
    </row>
    <row r="12" spans="1:315" ht="15.75" thickBot="1" x14ac:dyDescent="0.3">
      <c r="A12" s="97"/>
      <c r="B12" s="97"/>
      <c r="C12" s="97"/>
      <c r="D12" s="97"/>
      <c r="E12" s="97"/>
      <c r="F12" s="97"/>
      <c r="G12" s="97"/>
      <c r="H12" s="97"/>
      <c r="I12" s="97"/>
      <c r="J12" s="97"/>
      <c r="K12" s="2"/>
      <c r="L12" s="2"/>
      <c r="M12" s="2" t="s">
        <v>26</v>
      </c>
      <c r="N12" s="2"/>
      <c r="O12" s="2"/>
      <c r="P12" s="97"/>
      <c r="Q12" s="2"/>
      <c r="R12" s="2"/>
      <c r="S12" s="2"/>
      <c r="T12" s="2"/>
      <c r="U12" s="2"/>
      <c r="V12" s="2"/>
      <c r="W12" s="2"/>
      <c r="X12" s="2"/>
      <c r="Y12" s="2"/>
      <c r="Z12" s="2"/>
      <c r="AA12" s="7"/>
      <c r="LB12"/>
    </row>
    <row r="13" spans="1:315" ht="15.75" thickBot="1" x14ac:dyDescent="0.3">
      <c r="A13" s="97"/>
      <c r="B13" s="97"/>
      <c r="C13" s="2"/>
      <c r="D13" s="150" t="s">
        <v>18</v>
      </c>
      <c r="E13" s="182">
        <f ca="1">WORKDAY(N10,1)</f>
        <v>43733</v>
      </c>
      <c r="F13" s="155"/>
      <c r="G13" s="203" t="s">
        <v>26</v>
      </c>
      <c r="H13" s="2" t="s">
        <v>26</v>
      </c>
      <c r="I13" s="2"/>
      <c r="J13" s="2" t="s">
        <v>19</v>
      </c>
      <c r="K13" s="2"/>
      <c r="L13" s="2"/>
      <c r="M13" s="2"/>
      <c r="N13" s="2"/>
      <c r="O13" s="2"/>
      <c r="P13" s="97"/>
      <c r="Q13" s="2"/>
      <c r="R13" s="2"/>
      <c r="S13" s="2"/>
      <c r="T13" s="2"/>
      <c r="U13" s="2"/>
      <c r="V13" s="2"/>
      <c r="W13" s="2"/>
      <c r="X13" s="97"/>
      <c r="Y13" s="97"/>
      <c r="Z13" s="97"/>
      <c r="AA13" s="7"/>
      <c r="LB13"/>
    </row>
    <row r="14" spans="1:315" x14ac:dyDescent="0.25">
      <c r="A14" s="97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84"/>
      <c r="AA14" s="7"/>
      <c r="LB14"/>
    </row>
    <row r="15" spans="1:315" ht="15.75" thickBot="1" x14ac:dyDescent="0.3">
      <c r="A15" s="7"/>
      <c r="B15" s="97"/>
      <c r="C15" s="97"/>
      <c r="D15" s="85" t="s">
        <v>28</v>
      </c>
      <c r="E15" s="204" t="s">
        <v>85</v>
      </c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86"/>
      <c r="V15" s="97"/>
      <c r="W15" s="97"/>
      <c r="X15" s="97"/>
      <c r="Y15" s="97"/>
      <c r="Z15" s="97"/>
      <c r="AA15" s="97"/>
      <c r="AB15" s="97"/>
      <c r="AC15" s="83"/>
      <c r="LC15" s="7"/>
    </row>
    <row r="16" spans="1:315" ht="15.75" thickBot="1" x14ac:dyDescent="0.3">
      <c r="A16" s="7"/>
      <c r="B16" s="97"/>
      <c r="C16" s="97"/>
      <c r="D16" s="174" t="s">
        <v>39</v>
      </c>
      <c r="E16" s="175" t="s">
        <v>0</v>
      </c>
      <c r="F16" s="176" t="s">
        <v>1</v>
      </c>
      <c r="G16" s="177" t="s">
        <v>2</v>
      </c>
      <c r="H16" s="177" t="s">
        <v>3</v>
      </c>
      <c r="I16" s="178" t="s">
        <v>4</v>
      </c>
      <c r="J16" s="178" t="s">
        <v>79</v>
      </c>
      <c r="K16" s="179" t="s">
        <v>80</v>
      </c>
      <c r="L16" s="178" t="s">
        <v>5</v>
      </c>
      <c r="M16" s="178" t="s">
        <v>6</v>
      </c>
      <c r="N16" s="178" t="s">
        <v>7</v>
      </c>
      <c r="O16" s="178" t="s">
        <v>9</v>
      </c>
      <c r="P16" s="178" t="s">
        <v>8</v>
      </c>
      <c r="Q16" s="178" t="s">
        <v>10</v>
      </c>
      <c r="R16" s="180" t="s">
        <v>42</v>
      </c>
      <c r="S16" s="97"/>
      <c r="T16" s="7"/>
      <c r="U16" s="7"/>
      <c r="V16" s="7"/>
      <c r="W16" s="7"/>
      <c r="X16" s="7"/>
      <c r="Y16" s="7"/>
      <c r="Z16" s="7"/>
      <c r="AA16" s="7"/>
      <c r="KU16"/>
      <c r="KV16"/>
      <c r="KW16"/>
      <c r="KX16"/>
      <c r="KY16"/>
      <c r="KZ16"/>
      <c r="LA16"/>
      <c r="LB16"/>
    </row>
    <row r="17" spans="1:314" x14ac:dyDescent="0.25">
      <c r="A17" s="7"/>
      <c r="B17" s="97"/>
      <c r="C17" s="97"/>
      <c r="D17" s="167" t="s">
        <v>26</v>
      </c>
      <c r="E17" s="168" t="s">
        <v>26</v>
      </c>
      <c r="F17" s="168" t="s">
        <v>26</v>
      </c>
      <c r="G17" s="169" t="s">
        <v>26</v>
      </c>
      <c r="H17" s="95">
        <v>0</v>
      </c>
      <c r="I17" s="91">
        <v>0</v>
      </c>
      <c r="J17" s="183" t="s">
        <v>26</v>
      </c>
      <c r="K17" s="186" t="s">
        <v>26</v>
      </c>
      <c r="L17" s="87">
        <f t="shared" ref="L17:L22" si="0">IF(H17&gt;0,"32nds",0)</f>
        <v>0</v>
      </c>
      <c r="M17" s="92">
        <v>0</v>
      </c>
      <c r="N17" s="171">
        <f>IF(I17&gt;0,'Comm Calc'!G2*'Comm Calc'!H2,0)</f>
        <v>0</v>
      </c>
      <c r="O17" s="172">
        <v>0</v>
      </c>
      <c r="P17" s="173">
        <v>0</v>
      </c>
      <c r="Q17" s="170">
        <f>IF(N17&gt;0,1,0)</f>
        <v>0</v>
      </c>
      <c r="R17" s="168" t="s">
        <v>26</v>
      </c>
      <c r="S17" s="5"/>
      <c r="T17" s="7"/>
      <c r="U17" s="7"/>
      <c r="V17" s="7"/>
      <c r="W17" s="7"/>
      <c r="X17" s="7"/>
      <c r="Y17" s="7"/>
      <c r="Z17" s="7"/>
      <c r="AA17" s="7"/>
      <c r="KU17"/>
      <c r="KV17"/>
      <c r="KW17"/>
      <c r="KX17"/>
      <c r="KY17"/>
      <c r="KZ17"/>
      <c r="LA17"/>
      <c r="LB17"/>
    </row>
    <row r="18" spans="1:314" x14ac:dyDescent="0.25">
      <c r="A18" s="7"/>
      <c r="B18" s="97"/>
      <c r="C18" s="97"/>
      <c r="D18" s="88" t="s">
        <v>26</v>
      </c>
      <c r="E18" s="89" t="s">
        <v>26</v>
      </c>
      <c r="F18" s="89" t="s">
        <v>26</v>
      </c>
      <c r="G18" s="90" t="s">
        <v>26</v>
      </c>
      <c r="H18" s="95">
        <v>0</v>
      </c>
      <c r="I18" s="91">
        <v>0</v>
      </c>
      <c r="J18" s="184" t="s">
        <v>26</v>
      </c>
      <c r="K18" s="187" t="s">
        <v>26</v>
      </c>
      <c r="L18" s="87">
        <f t="shared" si="0"/>
        <v>0</v>
      </c>
      <c r="M18" s="92">
        <v>0</v>
      </c>
      <c r="N18" s="171">
        <f>IF(I18&gt;0,'Comm Calc'!G3*'Comm Calc'!H3,0)</f>
        <v>0</v>
      </c>
      <c r="O18" s="94">
        <v>0</v>
      </c>
      <c r="P18" s="93">
        <v>0</v>
      </c>
      <c r="Q18" s="170">
        <f>IF(N18&gt;0,2,0)</f>
        <v>0</v>
      </c>
      <c r="R18" s="89" t="s">
        <v>26</v>
      </c>
      <c r="S18" s="5"/>
      <c r="T18" s="7"/>
      <c r="U18" s="7"/>
      <c r="V18" s="7"/>
      <c r="W18" s="7"/>
      <c r="X18" s="7"/>
      <c r="Y18" s="7"/>
      <c r="Z18" s="7"/>
      <c r="AA18" s="7"/>
      <c r="KU18"/>
      <c r="KV18"/>
      <c r="KW18"/>
      <c r="KX18"/>
      <c r="KY18"/>
      <c r="KZ18"/>
      <c r="LA18"/>
      <c r="LB18"/>
    </row>
    <row r="19" spans="1:314" x14ac:dyDescent="0.25">
      <c r="A19" s="7"/>
      <c r="B19" s="97"/>
      <c r="C19" s="97"/>
      <c r="D19" s="88" t="s">
        <v>26</v>
      </c>
      <c r="E19" s="89" t="s">
        <v>26</v>
      </c>
      <c r="F19" s="89"/>
      <c r="G19" s="90" t="s">
        <v>26</v>
      </c>
      <c r="H19" s="95">
        <v>0</v>
      </c>
      <c r="I19" s="91">
        <v>0</v>
      </c>
      <c r="J19" s="184"/>
      <c r="K19" s="91" t="s">
        <v>26</v>
      </c>
      <c r="L19" s="87">
        <f t="shared" si="0"/>
        <v>0</v>
      </c>
      <c r="M19" s="92">
        <v>0</v>
      </c>
      <c r="N19" s="171">
        <f>IF(I19&gt;0,"='Comm Calc'!F4*'Comm Calc'!G4",0)</f>
        <v>0</v>
      </c>
      <c r="O19" s="94">
        <v>0</v>
      </c>
      <c r="P19" s="93">
        <v>0</v>
      </c>
      <c r="Q19" s="170">
        <f>IF(N19&gt;0,3,0)</f>
        <v>0</v>
      </c>
      <c r="R19" s="89"/>
      <c r="S19" s="5"/>
      <c r="T19" s="7"/>
      <c r="U19" s="7"/>
      <c r="V19" s="7"/>
      <c r="W19" s="7"/>
      <c r="X19" s="7"/>
      <c r="Y19" s="7"/>
      <c r="Z19" s="7"/>
      <c r="AA19" s="7"/>
      <c r="KU19"/>
      <c r="KV19"/>
      <c r="KW19"/>
      <c r="KX19"/>
      <c r="KY19"/>
      <c r="KZ19"/>
      <c r="LA19"/>
      <c r="LB19"/>
    </row>
    <row r="20" spans="1:314" x14ac:dyDescent="0.25">
      <c r="A20" s="7"/>
      <c r="B20" s="97"/>
      <c r="C20" s="97"/>
      <c r="D20" s="88" t="s">
        <v>26</v>
      </c>
      <c r="E20" s="89" t="s">
        <v>26</v>
      </c>
      <c r="F20" s="89"/>
      <c r="G20" s="90" t="s">
        <v>26</v>
      </c>
      <c r="H20" s="95">
        <v>0</v>
      </c>
      <c r="I20" s="91">
        <v>0</v>
      </c>
      <c r="J20" s="184"/>
      <c r="K20" s="91"/>
      <c r="L20" s="87">
        <f t="shared" si="0"/>
        <v>0</v>
      </c>
      <c r="M20" s="92">
        <v>0</v>
      </c>
      <c r="N20" s="171">
        <f>IF(I20&gt;0,"='Comm Calc'!F5*'Comm Calc'!G5",0)</f>
        <v>0</v>
      </c>
      <c r="O20" s="94">
        <v>0</v>
      </c>
      <c r="P20" s="93">
        <v>0</v>
      </c>
      <c r="Q20" s="170">
        <f>IF(N20&gt;0,4,0)</f>
        <v>0</v>
      </c>
      <c r="R20" s="89"/>
      <c r="S20" s="5"/>
      <c r="T20" s="7"/>
      <c r="U20" s="7"/>
      <c r="V20" s="7"/>
      <c r="W20" s="7"/>
      <c r="X20" s="7"/>
      <c r="Y20" s="7"/>
      <c r="Z20" s="7"/>
      <c r="AA20" s="7"/>
      <c r="KU20"/>
      <c r="KV20"/>
      <c r="KW20"/>
      <c r="KX20"/>
      <c r="KY20"/>
      <c r="KZ20"/>
      <c r="LA20"/>
      <c r="LB20"/>
    </row>
    <row r="21" spans="1:314" x14ac:dyDescent="0.25">
      <c r="A21" s="7"/>
      <c r="B21" s="97"/>
      <c r="C21" s="97"/>
      <c r="D21" s="88" t="s">
        <v>26</v>
      </c>
      <c r="E21" s="89" t="s">
        <v>26</v>
      </c>
      <c r="F21" s="89"/>
      <c r="G21" s="90" t="s">
        <v>26</v>
      </c>
      <c r="H21" s="95">
        <v>0</v>
      </c>
      <c r="I21" s="91">
        <v>0</v>
      </c>
      <c r="J21" s="184"/>
      <c r="K21" s="91"/>
      <c r="L21" s="87">
        <f t="shared" si="0"/>
        <v>0</v>
      </c>
      <c r="M21" s="92">
        <v>0</v>
      </c>
      <c r="N21" s="171">
        <f>IF(I21&gt;0,"='Comm Calc'!F6*'Comm Calc'!G6",0)</f>
        <v>0</v>
      </c>
      <c r="O21" s="94">
        <v>0</v>
      </c>
      <c r="P21" s="93">
        <v>0</v>
      </c>
      <c r="Q21" s="170">
        <f>IF(N21&gt;0,5,0)</f>
        <v>0</v>
      </c>
      <c r="R21" s="89"/>
      <c r="S21" s="5"/>
      <c r="T21" s="7"/>
      <c r="U21" s="7"/>
      <c r="V21" s="7"/>
      <c r="W21" s="7"/>
      <c r="X21" s="7"/>
      <c r="Y21" s="7"/>
      <c r="Z21" s="7"/>
      <c r="AA21" s="7"/>
      <c r="KU21"/>
      <c r="KV21"/>
      <c r="KW21"/>
      <c r="KX21"/>
      <c r="KY21"/>
      <c r="KZ21"/>
      <c r="LA21"/>
      <c r="LB21"/>
    </row>
    <row r="22" spans="1:314" x14ac:dyDescent="0.25">
      <c r="A22" s="7"/>
      <c r="B22" s="97"/>
      <c r="C22" s="97"/>
      <c r="D22" s="11" t="s">
        <v>26</v>
      </c>
      <c r="E22" s="1" t="s">
        <v>26</v>
      </c>
      <c r="F22" s="1"/>
      <c r="G22" s="17" t="s">
        <v>26</v>
      </c>
      <c r="H22" s="12">
        <v>0</v>
      </c>
      <c r="I22" s="13">
        <v>0</v>
      </c>
      <c r="J22" s="185"/>
      <c r="K22" s="13"/>
      <c r="L22" s="1">
        <f t="shared" si="0"/>
        <v>0</v>
      </c>
      <c r="M22" s="96">
        <v>0</v>
      </c>
      <c r="N22" s="14">
        <f>IF(I22&gt;0,'Comm Calc'!G7*'Comm Calc'!H7,0)</f>
        <v>0</v>
      </c>
      <c r="O22" s="16">
        <v>0</v>
      </c>
      <c r="P22" s="15">
        <v>0</v>
      </c>
      <c r="Q22" s="1">
        <f>IF(N22&gt;0,6,0)</f>
        <v>0</v>
      </c>
      <c r="R22" s="1"/>
      <c r="S22" s="97"/>
      <c r="T22" s="7"/>
      <c r="U22" s="7"/>
      <c r="V22" s="7"/>
      <c r="W22" s="7"/>
      <c r="X22" s="7"/>
      <c r="Y22" s="7"/>
      <c r="Z22" s="7"/>
      <c r="AA22" s="7"/>
      <c r="KU22"/>
      <c r="KV22"/>
      <c r="KW22"/>
      <c r="KX22"/>
      <c r="KY22"/>
      <c r="KZ22"/>
      <c r="LA22"/>
      <c r="LB22"/>
    </row>
    <row r="23" spans="1:314" x14ac:dyDescent="0.25">
      <c r="A23" s="7"/>
      <c r="B23" s="97"/>
      <c r="C23" s="97"/>
      <c r="D23" s="11" t="s">
        <v>26</v>
      </c>
      <c r="E23" s="1" t="s">
        <v>26</v>
      </c>
      <c r="F23" s="1"/>
      <c r="G23" s="17" t="s">
        <v>26</v>
      </c>
      <c r="H23" s="12">
        <v>0</v>
      </c>
      <c r="I23" s="13">
        <v>0</v>
      </c>
      <c r="J23" s="185"/>
      <c r="K23" s="13"/>
      <c r="L23" s="1">
        <f t="shared" ref="L23:L30" si="1">IF(H23&gt;0,"32nds",0)</f>
        <v>0</v>
      </c>
      <c r="M23" s="96">
        <v>0</v>
      </c>
      <c r="N23" s="14">
        <f>IF(I23&gt;0,'Comm Calc'!G8*'Comm Calc'!H8,0)</f>
        <v>0</v>
      </c>
      <c r="O23" s="16">
        <v>0</v>
      </c>
      <c r="P23" s="15">
        <v>0</v>
      </c>
      <c r="Q23" s="1">
        <f>IF(N23&gt;0,7,0)</f>
        <v>0</v>
      </c>
      <c r="R23" s="1"/>
      <c r="S23" s="97"/>
      <c r="T23" s="83"/>
      <c r="U23" s="7"/>
      <c r="V23" s="7"/>
      <c r="W23" s="7"/>
      <c r="X23" s="7"/>
      <c r="Y23" s="7"/>
      <c r="Z23" s="7"/>
      <c r="AA23" s="7"/>
      <c r="KU23"/>
      <c r="KV23"/>
      <c r="KW23"/>
      <c r="KX23"/>
      <c r="KY23"/>
      <c r="KZ23"/>
      <c r="LA23"/>
      <c r="LB23"/>
    </row>
    <row r="24" spans="1:314" x14ac:dyDescent="0.25">
      <c r="A24" s="7"/>
      <c r="B24" s="97"/>
      <c r="C24" s="97"/>
      <c r="D24" s="11" t="s">
        <v>26</v>
      </c>
      <c r="E24" s="1" t="s">
        <v>26</v>
      </c>
      <c r="F24" s="1"/>
      <c r="G24" s="17" t="s">
        <v>26</v>
      </c>
      <c r="H24" s="12">
        <v>0</v>
      </c>
      <c r="I24" s="13">
        <v>0</v>
      </c>
      <c r="J24" s="185"/>
      <c r="K24" s="13"/>
      <c r="L24" s="1">
        <f t="shared" si="1"/>
        <v>0</v>
      </c>
      <c r="M24" s="96">
        <v>0</v>
      </c>
      <c r="N24" s="14">
        <f>IF(I24&gt;0,'Comm Calc'!G9*'Comm Calc'!H9,0)</f>
        <v>0</v>
      </c>
      <c r="O24" s="16">
        <v>0</v>
      </c>
      <c r="P24" s="15">
        <v>0</v>
      </c>
      <c r="Q24" s="1">
        <f>IF(N24&gt;0,8,0)</f>
        <v>0</v>
      </c>
      <c r="R24" s="1"/>
      <c r="S24" s="97"/>
      <c r="T24" s="83"/>
      <c r="U24" s="7"/>
      <c r="V24" s="7"/>
      <c r="W24" s="7"/>
      <c r="X24" s="7"/>
      <c r="Y24" s="7"/>
      <c r="Z24" s="7"/>
      <c r="AA24" s="7"/>
      <c r="KU24"/>
      <c r="KV24"/>
      <c r="KW24"/>
      <c r="KX24"/>
      <c r="KY24"/>
      <c r="KZ24"/>
      <c r="LA24"/>
      <c r="LB24"/>
    </row>
    <row r="25" spans="1:314" x14ac:dyDescent="0.25">
      <c r="A25" s="7"/>
      <c r="B25" s="97"/>
      <c r="C25" s="97"/>
      <c r="D25" s="11" t="s">
        <v>26</v>
      </c>
      <c r="E25" s="1" t="s">
        <v>26</v>
      </c>
      <c r="F25" s="1"/>
      <c r="G25" s="17" t="s">
        <v>26</v>
      </c>
      <c r="H25" s="12">
        <v>0</v>
      </c>
      <c r="I25" s="13">
        <v>0</v>
      </c>
      <c r="J25" s="185"/>
      <c r="K25" s="13"/>
      <c r="L25" s="1">
        <f t="shared" si="1"/>
        <v>0</v>
      </c>
      <c r="M25" s="96">
        <v>0</v>
      </c>
      <c r="N25" s="14">
        <f>IF(I25&gt;0,'Comm Calc'!G10*'Comm Calc'!H10,0)</f>
        <v>0</v>
      </c>
      <c r="O25" s="16">
        <v>0</v>
      </c>
      <c r="P25" s="15">
        <v>0</v>
      </c>
      <c r="Q25" s="1">
        <f>IF(N25&gt;0,9,0)</f>
        <v>0</v>
      </c>
      <c r="R25" s="1"/>
      <c r="S25" s="97"/>
      <c r="T25" s="83"/>
      <c r="U25" s="7"/>
      <c r="V25" s="7"/>
      <c r="W25" s="7"/>
      <c r="X25" s="7"/>
      <c r="Y25" s="7"/>
      <c r="Z25" s="7"/>
      <c r="AA25" s="7"/>
      <c r="KU25"/>
      <c r="KV25"/>
      <c r="KW25"/>
      <c r="KX25"/>
      <c r="KY25"/>
      <c r="KZ25"/>
      <c r="LA25"/>
      <c r="LB25"/>
    </row>
    <row r="26" spans="1:314" x14ac:dyDescent="0.25">
      <c r="A26" s="7"/>
      <c r="B26" s="2"/>
      <c r="C26" s="2"/>
      <c r="D26" s="11" t="s">
        <v>26</v>
      </c>
      <c r="E26" s="1" t="s">
        <v>26</v>
      </c>
      <c r="F26" s="1"/>
      <c r="G26" s="17" t="s">
        <v>26</v>
      </c>
      <c r="H26" s="12">
        <v>0</v>
      </c>
      <c r="I26" s="13">
        <v>0</v>
      </c>
      <c r="J26" s="185"/>
      <c r="K26" s="13"/>
      <c r="L26" s="1">
        <f t="shared" si="1"/>
        <v>0</v>
      </c>
      <c r="M26" s="96">
        <v>0</v>
      </c>
      <c r="N26" s="14">
        <f>IF(I26&gt;0,'Comm Calc'!G11*'Comm Calc'!H11,0)</f>
        <v>0</v>
      </c>
      <c r="O26" s="16">
        <v>0</v>
      </c>
      <c r="P26" s="15">
        <v>0</v>
      </c>
      <c r="Q26" s="1">
        <f>IF(N26&gt;0,10,0)</f>
        <v>0</v>
      </c>
      <c r="R26" s="1"/>
      <c r="S26" s="2"/>
      <c r="T26" s="7"/>
      <c r="U26" s="7"/>
      <c r="V26" s="7"/>
      <c r="W26" s="7"/>
      <c r="X26" s="7"/>
      <c r="Y26" s="7"/>
      <c r="Z26" s="7"/>
      <c r="AA26" s="7"/>
      <c r="KU26"/>
      <c r="KV26"/>
      <c r="KW26"/>
      <c r="KX26"/>
      <c r="KY26"/>
      <c r="KZ26"/>
      <c r="LA26"/>
      <c r="LB26"/>
    </row>
    <row r="27" spans="1:314" x14ac:dyDescent="0.25">
      <c r="A27" s="7"/>
      <c r="B27" s="2"/>
      <c r="C27" s="2"/>
      <c r="D27" s="11" t="s">
        <v>26</v>
      </c>
      <c r="E27" s="1" t="s">
        <v>26</v>
      </c>
      <c r="F27" s="1"/>
      <c r="G27" s="17" t="s">
        <v>26</v>
      </c>
      <c r="H27" s="12">
        <v>0</v>
      </c>
      <c r="I27" s="13">
        <v>0</v>
      </c>
      <c r="J27" s="185"/>
      <c r="K27" s="13"/>
      <c r="L27" s="1">
        <f t="shared" si="1"/>
        <v>0</v>
      </c>
      <c r="M27" s="96">
        <v>0</v>
      </c>
      <c r="N27" s="14">
        <f>IF(I27&gt;0,'Comm Calc'!G12*'Comm Calc'!H12,0)</f>
        <v>0</v>
      </c>
      <c r="O27" s="16">
        <v>0</v>
      </c>
      <c r="P27" s="15">
        <v>0</v>
      </c>
      <c r="Q27" s="1">
        <f>IF(N27&gt;0,11,0)</f>
        <v>0</v>
      </c>
      <c r="R27" s="1"/>
      <c r="S27" s="2"/>
      <c r="T27" s="7"/>
      <c r="U27" s="7"/>
      <c r="V27" s="7"/>
      <c r="W27" s="7"/>
      <c r="X27" s="7"/>
      <c r="Y27" s="7"/>
      <c r="Z27" s="7"/>
      <c r="AA27" s="7"/>
      <c r="KU27"/>
      <c r="KV27"/>
      <c r="KW27"/>
      <c r="KX27"/>
      <c r="KY27"/>
      <c r="KZ27"/>
      <c r="LA27"/>
      <c r="LB27"/>
    </row>
    <row r="28" spans="1:314" x14ac:dyDescent="0.25">
      <c r="A28" s="7"/>
      <c r="B28" s="2"/>
      <c r="C28" s="2"/>
      <c r="D28" s="11" t="s">
        <v>26</v>
      </c>
      <c r="E28" s="1" t="s">
        <v>26</v>
      </c>
      <c r="F28" s="1"/>
      <c r="G28" s="17" t="s">
        <v>26</v>
      </c>
      <c r="H28" s="12">
        <v>0</v>
      </c>
      <c r="I28" s="13">
        <v>0</v>
      </c>
      <c r="J28" s="185"/>
      <c r="K28" s="13"/>
      <c r="L28" s="1">
        <f t="shared" si="1"/>
        <v>0</v>
      </c>
      <c r="M28" s="96">
        <v>0</v>
      </c>
      <c r="N28" s="14">
        <f>IF(I28&gt;0,'Comm Calc'!G13*'Comm Calc'!H13,0)</f>
        <v>0</v>
      </c>
      <c r="O28" s="16">
        <v>0</v>
      </c>
      <c r="P28" s="15">
        <v>0</v>
      </c>
      <c r="Q28" s="1">
        <f>IF(N28&gt;0,12,0)</f>
        <v>0</v>
      </c>
      <c r="R28" s="1"/>
      <c r="S28" s="2"/>
      <c r="T28" s="7"/>
      <c r="U28" s="7"/>
      <c r="V28" s="7"/>
      <c r="W28" s="7"/>
      <c r="X28" s="7"/>
      <c r="Y28" s="7"/>
      <c r="Z28" s="7"/>
      <c r="AA28" s="7"/>
      <c r="KU28"/>
      <c r="KV28"/>
      <c r="KW28"/>
      <c r="KX28"/>
      <c r="KY28"/>
      <c r="KZ28"/>
      <c r="LA28"/>
      <c r="LB28"/>
    </row>
    <row r="29" spans="1:314" x14ac:dyDescent="0.25">
      <c r="A29" s="7"/>
      <c r="B29" s="2"/>
      <c r="C29" s="2"/>
      <c r="D29" s="11" t="s">
        <v>26</v>
      </c>
      <c r="E29" s="1" t="s">
        <v>26</v>
      </c>
      <c r="F29" s="1"/>
      <c r="G29" s="17" t="s">
        <v>26</v>
      </c>
      <c r="H29" s="12">
        <v>0</v>
      </c>
      <c r="I29" s="13">
        <v>0</v>
      </c>
      <c r="J29" s="185"/>
      <c r="K29" s="13"/>
      <c r="L29" s="1">
        <f t="shared" si="1"/>
        <v>0</v>
      </c>
      <c r="M29" s="96">
        <v>0</v>
      </c>
      <c r="N29" s="14">
        <f>IF(I29&gt;0,'Comm Calc'!G14*'Comm Calc'!H14,0)</f>
        <v>0</v>
      </c>
      <c r="O29" s="16">
        <v>0</v>
      </c>
      <c r="P29" s="15">
        <v>0</v>
      </c>
      <c r="Q29" s="1">
        <f>IF(N29&gt;0,13,0)</f>
        <v>0</v>
      </c>
      <c r="R29" s="1"/>
      <c r="S29" s="2"/>
      <c r="T29" s="7"/>
      <c r="U29" s="7"/>
      <c r="V29" s="7"/>
      <c r="W29" s="7"/>
      <c r="X29" s="7"/>
      <c r="Y29" s="7"/>
      <c r="Z29" s="7"/>
      <c r="AA29" s="7"/>
      <c r="KU29"/>
      <c r="KV29"/>
      <c r="KW29"/>
      <c r="KX29"/>
      <c r="KY29"/>
      <c r="KZ29"/>
      <c r="LA29"/>
      <c r="LB29"/>
    </row>
    <row r="30" spans="1:314" x14ac:dyDescent="0.25">
      <c r="A30" s="7"/>
      <c r="B30" s="2"/>
      <c r="C30" s="2"/>
      <c r="D30" s="11" t="s">
        <v>26</v>
      </c>
      <c r="E30" s="1" t="s">
        <v>26</v>
      </c>
      <c r="F30" s="1"/>
      <c r="G30" s="17" t="s">
        <v>26</v>
      </c>
      <c r="H30" s="12">
        <v>0</v>
      </c>
      <c r="I30" s="13">
        <v>0</v>
      </c>
      <c r="J30" s="185"/>
      <c r="K30" s="13"/>
      <c r="L30" s="1">
        <f t="shared" si="1"/>
        <v>0</v>
      </c>
      <c r="M30" s="96">
        <v>0</v>
      </c>
      <c r="N30" s="14">
        <f>IF(I30&gt;0,'Comm Calc'!G15*'Comm Calc'!H15,0)</f>
        <v>0</v>
      </c>
      <c r="O30" s="16">
        <v>0</v>
      </c>
      <c r="P30" s="15">
        <v>0</v>
      </c>
      <c r="Q30" s="1">
        <f>IF(N30&gt;0,14,0)</f>
        <v>0</v>
      </c>
      <c r="R30" s="1"/>
      <c r="S30" s="1"/>
      <c r="T30" s="1"/>
      <c r="U30" s="1"/>
      <c r="V30" s="1"/>
      <c r="W30" s="1"/>
      <c r="X30" s="1"/>
      <c r="Y30" s="2"/>
      <c r="Z30" s="7"/>
      <c r="AA30" s="7"/>
      <c r="LA30"/>
      <c r="LB30"/>
    </row>
    <row r="31" spans="1:314" x14ac:dyDescent="0.25">
      <c r="A31" s="2"/>
      <c r="B31" s="2"/>
      <c r="C31" s="2"/>
      <c r="D31" s="2"/>
      <c r="E31" s="2"/>
      <c r="F31" s="2"/>
      <c r="G31" s="4" t="s">
        <v>26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314" x14ac:dyDescent="0.25">
      <c r="A32" s="2"/>
      <c r="B32" s="2"/>
      <c r="C32" s="2"/>
      <c r="D32" s="2"/>
      <c r="E32" s="2"/>
      <c r="F32" s="2"/>
      <c r="G32" s="4" t="s">
        <v>26</v>
      </c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5">
      <c r="A33" s="2"/>
      <c r="B33" s="2"/>
      <c r="C33" s="2"/>
      <c r="D33" s="2"/>
      <c r="E33" s="2"/>
      <c r="F33" s="2"/>
      <c r="G33" s="4" t="s">
        <v>26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2"/>
      <c r="B34" s="2"/>
      <c r="C34" s="2"/>
      <c r="D34" s="2"/>
      <c r="E34" s="2"/>
      <c r="F34" s="2"/>
      <c r="G34" s="4" t="s">
        <v>26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2"/>
      <c r="B35" s="2"/>
      <c r="C35" s="2"/>
      <c r="D35" s="2"/>
      <c r="E35" s="2"/>
      <c r="F35" s="2"/>
      <c r="G35" s="4" t="s">
        <v>26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5">
      <c r="A36" s="2"/>
      <c r="B36" s="2"/>
      <c r="C36" s="2"/>
      <c r="D36" s="2"/>
      <c r="E36" s="2"/>
      <c r="F36" s="2"/>
      <c r="G36" s="4" t="s">
        <v>26</v>
      </c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5">
      <c r="A37" s="2"/>
      <c r="B37" s="2"/>
      <c r="C37" s="2"/>
      <c r="D37" s="2"/>
      <c r="E37" s="2"/>
      <c r="F37" s="2"/>
      <c r="G37" s="4" t="s">
        <v>26</v>
      </c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2"/>
      <c r="B38" s="2"/>
      <c r="C38" s="2"/>
      <c r="D38" s="2"/>
      <c r="E38" s="2"/>
      <c r="F38" s="2"/>
      <c r="G38" s="2" t="s">
        <v>26</v>
      </c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5">
      <c r="A46" s="2"/>
      <c r="B46" s="2"/>
      <c r="C46" s="2"/>
      <c r="D46" s="2"/>
      <c r="E46" s="2"/>
      <c r="F46" s="97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5">
      <c r="A47" s="2"/>
      <c r="B47" s="2"/>
      <c r="C47" s="2"/>
      <c r="D47" s="2"/>
      <c r="E47" s="2"/>
      <c r="F47" s="97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5">
      <c r="A48" s="2"/>
      <c r="B48" s="2"/>
      <c r="C48" s="2"/>
      <c r="D48" s="2"/>
      <c r="E48" s="2"/>
      <c r="F48" s="97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5">
      <c r="A49" s="2"/>
      <c r="B49" s="2"/>
      <c r="C49" s="2"/>
      <c r="D49" s="2"/>
      <c r="E49" s="2"/>
      <c r="F49" s="97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5">
      <c r="A50" s="2"/>
      <c r="B50" s="2"/>
      <c r="C50" s="2"/>
      <c r="D50" s="2"/>
      <c r="E50" s="2"/>
      <c r="F50" s="97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5">
      <c r="A51" s="2"/>
      <c r="B51" s="2"/>
      <c r="C51" s="2"/>
      <c r="D51" s="2"/>
      <c r="E51" s="2"/>
      <c r="F51" s="97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5">
      <c r="A52" s="2"/>
      <c r="B52" s="2"/>
      <c r="C52" s="2"/>
      <c r="D52" s="2"/>
      <c r="E52" s="2"/>
      <c r="F52" s="97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5">
      <c r="A53" s="2"/>
      <c r="B53" s="2"/>
      <c r="C53" s="2"/>
      <c r="D53" s="2"/>
      <c r="E53" s="2"/>
      <c r="F53" s="97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5">
      <c r="A66" s="2"/>
      <c r="B66" s="2"/>
      <c r="C66" s="2"/>
      <c r="D66" s="2"/>
      <c r="E66" s="2"/>
      <c r="F66" s="2" t="s">
        <v>11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5">
      <c r="A67" s="2"/>
      <c r="B67" s="2"/>
      <c r="C67" s="2"/>
      <c r="D67" s="2"/>
      <c r="E67" s="2"/>
      <c r="F67" s="2" t="s">
        <v>12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>
        <v>0</v>
      </c>
      <c r="V100" s="2"/>
      <c r="W100" s="2"/>
      <c r="X100" s="2"/>
      <c r="Y100" s="2"/>
      <c r="Z100" s="2"/>
      <c r="AA100" s="2"/>
    </row>
    <row r="101" spans="1:27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1:27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1:27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1:27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1:27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1:27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1:27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1:27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1:27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1:27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1:27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1:27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1:27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1:27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1:27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1:27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1:27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1:27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1:27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1:27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1:27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1:27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1:27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1:27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1:27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1:27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1:27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1:27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1:27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1:27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1:27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1:27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1:27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1:27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1:27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1:27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1:27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1:27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1:27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1:27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1:27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1:27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1:27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1:27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1:27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1:27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1:27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1:27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1:27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1:27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1:27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1:27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1:27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1:27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1:27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1:27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1:27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1:27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1:27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1:27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1:27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1:27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1:27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1:27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1:27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1:27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1:27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1:27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1:27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1:27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1:27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1:27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1:27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1:27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1:27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1:27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1:27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1:27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1:27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1:27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1:27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1:27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1:27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1:27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1:27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1:27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1:27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1:27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1:27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1:27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1:27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1:27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1:27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1:27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1:27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1:27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1:27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1:27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1:27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1:27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1:27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1:27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1:27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1:27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1:27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1:27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1:27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1:27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1:27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1:27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1:27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1:27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1:27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1:27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1:27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1:27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1:27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1:27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1:27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1:27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1:27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1:27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1:27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1:27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1:27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1:27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 t="s">
        <v>22</v>
      </c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1:27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 t="s">
        <v>20</v>
      </c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1:27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 t="s">
        <v>21</v>
      </c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1:27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 t="s">
        <v>23</v>
      </c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1:27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 t="s">
        <v>24</v>
      </c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</sheetData>
  <mergeCells count="1">
    <mergeCell ref="M3:N3"/>
  </mergeCells>
  <conditionalFormatting sqref="Q8">
    <cfRule type="expression" dxfId="7" priority="5">
      <formula>"$F$19=""???"""</formula>
    </cfRule>
    <cfRule type="containsText" dxfId="6" priority="6" operator="containsText" text="SELL">
      <formula>NOT(ISERROR(SEARCH("SELL",Q8)))</formula>
    </cfRule>
    <cfRule type="containsText" dxfId="5" priority="7" operator="containsText" text="BUY">
      <formula>NOT(ISERROR(SEARCH("BUY",Q8)))</formula>
    </cfRule>
  </conditionalFormatting>
  <conditionalFormatting sqref="R30:X30 Q17:R22 R23:R29 Q23:Q30 D17:K30 M17:P30">
    <cfRule type="expression" dxfId="4" priority="8">
      <formula>$D17="??"</formula>
    </cfRule>
  </conditionalFormatting>
  <conditionalFormatting sqref="O8">
    <cfRule type="expression" dxfId="3" priority="2">
      <formula>"$F$19=""???"""</formula>
    </cfRule>
    <cfRule type="containsText" dxfId="2" priority="3" operator="containsText" text="SELL">
      <formula>NOT(ISERROR(SEARCH("SELL",O8)))</formula>
    </cfRule>
    <cfRule type="containsText" dxfId="1" priority="4" operator="containsText" text="BUY">
      <formula>NOT(ISERROR(SEARCH("BUY",O8)))</formula>
    </cfRule>
  </conditionalFormatting>
  <conditionalFormatting sqref="L17:L30">
    <cfRule type="expression" dxfId="0" priority="1">
      <formula>$D17="??"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K/SAVE">
              <controlPr defaultSize="0" print="0" autoFill="0" autoPict="0" macro="[0]!Test2">
                <anchor moveWithCells="1" sizeWithCells="1">
                  <from>
                    <xdr:col>4</xdr:col>
                    <xdr:colOff>0</xdr:colOff>
                    <xdr:row>30</xdr:row>
                    <xdr:rowOff>142875</xdr:rowOff>
                  </from>
                  <to>
                    <xdr:col>6</xdr:col>
                    <xdr:colOff>314325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AP">
                <anchor moveWithCells="1" sizeWithCells="1">
                  <from>
                    <xdr:col>16</xdr:col>
                    <xdr:colOff>285750</xdr:colOff>
                    <xdr:row>30</xdr:row>
                    <xdr:rowOff>123825</xdr:rowOff>
                  </from>
                  <to>
                    <xdr:col>18</xdr:col>
                    <xdr:colOff>104775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Corp">
                <anchor moveWithCells="1" sizeWithCells="1">
                  <from>
                    <xdr:col>12</xdr:col>
                    <xdr:colOff>9525</xdr:colOff>
                    <xdr:row>30</xdr:row>
                    <xdr:rowOff>152400</xdr:rowOff>
                  </from>
                  <to>
                    <xdr:col>13</xdr:col>
                    <xdr:colOff>333375</xdr:colOff>
                    <xdr:row>32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span" xr2:uid="{00000000-0003-0000-0600-000007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Govys!M4:M4</xm:f>
              <xm:sqref>N4</xm:sqref>
            </x14:sparkline>
            <x14:sparkline>
              <xm:f>Govys!M5:M5</xm:f>
              <xm:sqref>N5</xm:sqref>
            </x14:sparkline>
          </x14:sparklines>
        </x14:sparklineGroup>
        <x14:sparklineGroup manualMax="0" manualMin="0" type="column" displayEmptyCellsAs="span" xr2:uid="{00000000-0003-0000-0600-000006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Govys!O4:O4</xm:f>
              <xm:sqref>P4</xm:sqref>
            </x14:sparkline>
            <x14:sparkline>
              <xm:f>Govys!O5:O5</xm:f>
              <xm:sqref>P5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 Entry</vt:lpstr>
      <vt:lpstr>Trades</vt:lpstr>
      <vt:lpstr>Trades2</vt:lpstr>
      <vt:lpstr>Comm Calc</vt:lpstr>
      <vt:lpstr>Emer</vt:lpstr>
      <vt:lpstr>Corp</vt:lpstr>
      <vt:lpstr>Govys</vt:lpstr>
      <vt:lpstr>workday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Kunz</dc:creator>
  <cp:lastModifiedBy>Josephwilliam Kunz</cp:lastModifiedBy>
  <cp:lastPrinted>2017-10-06T14:03:42Z</cp:lastPrinted>
  <dcterms:created xsi:type="dcterms:W3CDTF">2016-01-29T14:42:24Z</dcterms:created>
  <dcterms:modified xsi:type="dcterms:W3CDTF">2019-09-24T12:10:01Z</dcterms:modified>
</cp:coreProperties>
</file>